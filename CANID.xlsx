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orion\Documents\Arduino\libraries\CCP\"/>
    </mc:Choice>
  </mc:AlternateContent>
  <xr:revisionPtr revIDLastSave="0" documentId="13_ncr:1_{2B206710-D85B-4BEC-99AA-396FC974B74C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20thNSE" sheetId="7" r:id="rId1"/>
    <sheet name="24thISE" sheetId="6" r:id="rId2"/>
    <sheet name="23rdISE" sheetId="5" r:id="rId3"/>
    <sheet name="19thNSE" sheetId="4" r:id="rId4"/>
    <sheet name="Project-e" sheetId="3" r:id="rId5"/>
    <sheet name="CANVAS" sheetId="1" r:id="rId6"/>
    <sheet name="仕様詳細" sheetId="2" r:id="rId7"/>
  </sheets>
  <calcPr calcId="191029"/>
</workbook>
</file>

<file path=xl/calcChain.xml><?xml version="1.0" encoding="utf-8"?>
<calcChain xmlns="http://schemas.openxmlformats.org/spreadsheetml/2006/main">
  <c r="C259" i="7" l="1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260" i="6"/>
  <c r="B260" i="6"/>
  <c r="C259" i="6"/>
  <c r="B259" i="6"/>
  <c r="C258" i="6"/>
  <c r="B258" i="6"/>
  <c r="C257" i="6"/>
  <c r="B257" i="6"/>
  <c r="C256" i="6"/>
  <c r="B256" i="6"/>
  <c r="C255" i="6"/>
  <c r="B255" i="6"/>
  <c r="C254" i="6"/>
  <c r="B254" i="6"/>
  <c r="C253" i="6"/>
  <c r="B253" i="6"/>
  <c r="C252" i="6"/>
  <c r="B252" i="6"/>
  <c r="C251" i="6"/>
  <c r="B251" i="6"/>
  <c r="C250" i="6"/>
  <c r="B250" i="6"/>
  <c r="C249" i="6"/>
  <c r="B249" i="6"/>
  <c r="C248" i="6"/>
  <c r="B248" i="6"/>
  <c r="C247" i="6"/>
  <c r="B247" i="6"/>
  <c r="C246" i="6"/>
  <c r="B246" i="6"/>
  <c r="C245" i="6"/>
  <c r="B245" i="6"/>
  <c r="C244" i="6"/>
  <c r="B244" i="6"/>
  <c r="C243" i="6"/>
  <c r="B243" i="6"/>
  <c r="C242" i="6"/>
  <c r="B242" i="6"/>
  <c r="C241" i="6"/>
  <c r="B241" i="6"/>
  <c r="C240" i="6"/>
  <c r="B240" i="6"/>
  <c r="C239" i="6"/>
  <c r="B239" i="6"/>
  <c r="C238" i="6"/>
  <c r="B238" i="6"/>
  <c r="C237" i="6"/>
  <c r="B237" i="6"/>
  <c r="C236" i="6"/>
  <c r="B236" i="6"/>
  <c r="C235" i="6"/>
  <c r="B235" i="6"/>
  <c r="C234" i="6"/>
  <c r="B234" i="6"/>
  <c r="C233" i="6"/>
  <c r="B233" i="6"/>
  <c r="C232" i="6"/>
  <c r="B232" i="6"/>
  <c r="C231" i="6"/>
  <c r="B231" i="6"/>
  <c r="C230" i="6"/>
  <c r="B230" i="6"/>
  <c r="C229" i="6"/>
  <c r="B229" i="6"/>
  <c r="C228" i="6"/>
  <c r="B228" i="6"/>
  <c r="C227" i="6"/>
  <c r="B227" i="6"/>
  <c r="C226" i="6"/>
  <c r="B226" i="6"/>
  <c r="C225" i="6"/>
  <c r="B225" i="6"/>
  <c r="C224" i="6"/>
  <c r="B224" i="6"/>
  <c r="C223" i="6"/>
  <c r="B223" i="6"/>
  <c r="C222" i="6"/>
  <c r="B222" i="6"/>
  <c r="C221" i="6"/>
  <c r="B221" i="6"/>
  <c r="C220" i="6"/>
  <c r="B220" i="6"/>
  <c r="C219" i="6"/>
  <c r="B219" i="6"/>
  <c r="C218" i="6"/>
  <c r="B218" i="6"/>
  <c r="C217" i="6"/>
  <c r="B217" i="6"/>
  <c r="C216" i="6"/>
  <c r="B216" i="6"/>
  <c r="C215" i="6"/>
  <c r="B215" i="6"/>
  <c r="C214" i="6"/>
  <c r="B214" i="6"/>
  <c r="C213" i="6"/>
  <c r="B213" i="6"/>
  <c r="C212" i="6"/>
  <c r="B212" i="6"/>
  <c r="C211" i="6"/>
  <c r="B211" i="6"/>
  <c r="C210" i="6"/>
  <c r="B210" i="6"/>
  <c r="C209" i="6"/>
  <c r="B209" i="6"/>
  <c r="C208" i="6"/>
  <c r="B208" i="6"/>
  <c r="C207" i="6"/>
  <c r="B207" i="6"/>
  <c r="C206" i="6"/>
  <c r="B206" i="6"/>
  <c r="C205" i="6"/>
  <c r="B205" i="6"/>
  <c r="C204" i="6"/>
  <c r="B204" i="6"/>
  <c r="C203" i="6"/>
  <c r="B203" i="6"/>
  <c r="C202" i="6"/>
  <c r="B202" i="6"/>
  <c r="C201" i="6"/>
  <c r="B201" i="6"/>
  <c r="C200" i="6"/>
  <c r="B200" i="6"/>
  <c r="C199" i="6"/>
  <c r="B199" i="6"/>
  <c r="C198" i="6"/>
  <c r="B198" i="6"/>
  <c r="C197" i="6"/>
  <c r="B197" i="6"/>
  <c r="C196" i="6"/>
  <c r="B196" i="6"/>
  <c r="C195" i="6"/>
  <c r="B195" i="6"/>
  <c r="C194" i="6"/>
  <c r="B194" i="6"/>
  <c r="C193" i="6"/>
  <c r="B193" i="6"/>
  <c r="C192" i="6"/>
  <c r="B192" i="6"/>
  <c r="C191" i="6"/>
  <c r="B191" i="6"/>
  <c r="C190" i="6"/>
  <c r="B190" i="6"/>
  <c r="C189" i="6"/>
  <c r="B189" i="6"/>
  <c r="C188" i="6"/>
  <c r="B188" i="6"/>
  <c r="C187" i="6"/>
  <c r="B187" i="6"/>
  <c r="C186" i="6"/>
  <c r="B186" i="6"/>
  <c r="C185" i="6"/>
  <c r="B185" i="6"/>
  <c r="C184" i="6"/>
  <c r="B184" i="6"/>
  <c r="C183" i="6"/>
  <c r="B183" i="6"/>
  <c r="C182" i="6"/>
  <c r="B182" i="6"/>
  <c r="C181" i="6"/>
  <c r="B181" i="6"/>
  <c r="C180" i="6"/>
  <c r="B180" i="6"/>
  <c r="C179" i="6"/>
  <c r="B179" i="6"/>
  <c r="C178" i="6"/>
  <c r="B178" i="6"/>
  <c r="C177" i="6"/>
  <c r="B177" i="6"/>
  <c r="C176" i="6"/>
  <c r="B176" i="6"/>
  <c r="C175" i="6"/>
  <c r="B175" i="6"/>
  <c r="C174" i="6"/>
  <c r="B174" i="6"/>
  <c r="C173" i="6"/>
  <c r="B173" i="6"/>
  <c r="C172" i="6"/>
  <c r="B172" i="6"/>
  <c r="C171" i="6"/>
  <c r="B171" i="6"/>
  <c r="C170" i="6"/>
  <c r="B170" i="6"/>
  <c r="C169" i="6"/>
  <c r="B169" i="6"/>
  <c r="C168" i="6"/>
  <c r="B168" i="6"/>
  <c r="C167" i="6"/>
  <c r="B167" i="6"/>
  <c r="C166" i="6"/>
  <c r="B166" i="6"/>
  <c r="C165" i="6"/>
  <c r="B165" i="6"/>
  <c r="C164" i="6"/>
  <c r="B164" i="6"/>
  <c r="C163" i="6"/>
  <c r="B163" i="6"/>
  <c r="C162" i="6"/>
  <c r="B162" i="6"/>
  <c r="C161" i="6"/>
  <c r="B161" i="6"/>
  <c r="C160" i="6"/>
  <c r="B160" i="6"/>
  <c r="C159" i="6"/>
  <c r="B159" i="6"/>
  <c r="C158" i="6"/>
  <c r="B158" i="6"/>
  <c r="C157" i="6"/>
  <c r="B157" i="6"/>
  <c r="C156" i="6"/>
  <c r="B156" i="6"/>
  <c r="C155" i="6"/>
  <c r="B155" i="6"/>
  <c r="C154" i="6"/>
  <c r="B154" i="6"/>
  <c r="C153" i="6"/>
  <c r="B153" i="6"/>
  <c r="C152" i="6"/>
  <c r="B152" i="6"/>
  <c r="C151" i="6"/>
  <c r="B151" i="6"/>
  <c r="C150" i="6"/>
  <c r="B150" i="6"/>
  <c r="C149" i="6"/>
  <c r="B149" i="6"/>
  <c r="C148" i="6"/>
  <c r="B148" i="6"/>
  <c r="C147" i="6"/>
  <c r="B147" i="6"/>
  <c r="C146" i="6"/>
  <c r="B146" i="6"/>
  <c r="C145" i="6"/>
  <c r="B145" i="6"/>
  <c r="C144" i="6"/>
  <c r="B144" i="6"/>
  <c r="C143" i="6"/>
  <c r="B143" i="6"/>
  <c r="C142" i="6"/>
  <c r="B142" i="6"/>
  <c r="C141" i="6"/>
  <c r="B141" i="6"/>
  <c r="C140" i="6"/>
  <c r="B140" i="6"/>
  <c r="C139" i="6"/>
  <c r="B139" i="6"/>
  <c r="C138" i="6"/>
  <c r="B138" i="6"/>
  <c r="C137" i="6"/>
  <c r="B137" i="6"/>
  <c r="C136" i="6"/>
  <c r="B136" i="6"/>
  <c r="C135" i="6"/>
  <c r="B135" i="6"/>
  <c r="C134" i="6"/>
  <c r="B134" i="6"/>
  <c r="C133" i="6"/>
  <c r="B133" i="6"/>
  <c r="C132" i="6"/>
  <c r="B132" i="6"/>
  <c r="C131" i="6"/>
  <c r="B131" i="6"/>
  <c r="C130" i="6"/>
  <c r="B130" i="6"/>
  <c r="C129" i="6"/>
  <c r="B129" i="6"/>
  <c r="C128" i="6"/>
  <c r="B128" i="6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C115" i="6"/>
  <c r="B115" i="6"/>
  <c r="C114" i="6"/>
  <c r="B114" i="6"/>
  <c r="C113" i="6"/>
  <c r="B113" i="6"/>
  <c r="C112" i="6"/>
  <c r="B112" i="6"/>
  <c r="C111" i="6"/>
  <c r="B111" i="6"/>
  <c r="C110" i="6"/>
  <c r="B110" i="6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C259" i="5"/>
  <c r="B259" i="5"/>
  <c r="C258" i="5"/>
  <c r="B258" i="5"/>
  <c r="C257" i="5"/>
  <c r="B257" i="5"/>
  <c r="C256" i="5"/>
  <c r="B256" i="5"/>
  <c r="C255" i="5"/>
  <c r="B255" i="5"/>
  <c r="C254" i="5"/>
  <c r="B254" i="5"/>
  <c r="C253" i="5"/>
  <c r="B253" i="5"/>
  <c r="C252" i="5"/>
  <c r="B252" i="5"/>
  <c r="C251" i="5"/>
  <c r="B251" i="5"/>
  <c r="C250" i="5"/>
  <c r="B250" i="5"/>
  <c r="C249" i="5"/>
  <c r="B249" i="5"/>
  <c r="C248" i="5"/>
  <c r="B248" i="5"/>
  <c r="C247" i="5"/>
  <c r="B247" i="5"/>
  <c r="C246" i="5"/>
  <c r="B246" i="5"/>
  <c r="C245" i="5"/>
  <c r="B245" i="5"/>
  <c r="C244" i="5"/>
  <c r="B244" i="5"/>
  <c r="C243" i="5"/>
  <c r="B243" i="5"/>
  <c r="C242" i="5"/>
  <c r="B242" i="5"/>
  <c r="C241" i="5"/>
  <c r="B241" i="5"/>
  <c r="C240" i="5"/>
  <c r="B240" i="5"/>
  <c r="C239" i="5"/>
  <c r="B239" i="5"/>
  <c r="C238" i="5"/>
  <c r="B238" i="5"/>
  <c r="C237" i="5"/>
  <c r="B237" i="5"/>
  <c r="C236" i="5"/>
  <c r="B236" i="5"/>
  <c r="C235" i="5"/>
  <c r="B235" i="5"/>
  <c r="C234" i="5"/>
  <c r="B234" i="5"/>
  <c r="C233" i="5"/>
  <c r="B233" i="5"/>
  <c r="C232" i="5"/>
  <c r="B232" i="5"/>
  <c r="C231" i="5"/>
  <c r="B231" i="5"/>
  <c r="C230" i="5"/>
  <c r="B230" i="5"/>
  <c r="C229" i="5"/>
  <c r="B229" i="5"/>
  <c r="C228" i="5"/>
  <c r="B228" i="5"/>
  <c r="C227" i="5"/>
  <c r="B227" i="5"/>
  <c r="C226" i="5"/>
  <c r="B226" i="5"/>
  <c r="C225" i="5"/>
  <c r="B225" i="5"/>
  <c r="C224" i="5"/>
  <c r="B224" i="5"/>
  <c r="C223" i="5"/>
  <c r="B223" i="5"/>
  <c r="C222" i="5"/>
  <c r="B222" i="5"/>
  <c r="C221" i="5"/>
  <c r="B221" i="5"/>
  <c r="C220" i="5"/>
  <c r="B220" i="5"/>
  <c r="C219" i="5"/>
  <c r="B219" i="5"/>
  <c r="C218" i="5"/>
  <c r="B218" i="5"/>
  <c r="C217" i="5"/>
  <c r="B217" i="5"/>
  <c r="C216" i="5"/>
  <c r="B216" i="5"/>
  <c r="C215" i="5"/>
  <c r="B215" i="5"/>
  <c r="C214" i="5"/>
  <c r="B214" i="5"/>
  <c r="C213" i="5"/>
  <c r="B213" i="5"/>
  <c r="C212" i="5"/>
  <c r="B212" i="5"/>
  <c r="C211" i="5"/>
  <c r="B211" i="5"/>
  <c r="C210" i="5"/>
  <c r="B210" i="5"/>
  <c r="C209" i="5"/>
  <c r="B209" i="5"/>
  <c r="C208" i="5"/>
  <c r="B208" i="5"/>
  <c r="C207" i="5"/>
  <c r="B207" i="5"/>
  <c r="C206" i="5"/>
  <c r="B206" i="5"/>
  <c r="C205" i="5"/>
  <c r="B205" i="5"/>
  <c r="C204" i="5"/>
  <c r="B204" i="5"/>
  <c r="C203" i="5"/>
  <c r="B203" i="5"/>
  <c r="C202" i="5"/>
  <c r="B202" i="5"/>
  <c r="C201" i="5"/>
  <c r="B201" i="5"/>
  <c r="C200" i="5"/>
  <c r="B200" i="5"/>
  <c r="C199" i="5"/>
  <c r="B199" i="5"/>
  <c r="C198" i="5"/>
  <c r="B198" i="5"/>
  <c r="C197" i="5"/>
  <c r="B197" i="5"/>
  <c r="C196" i="5"/>
  <c r="B196" i="5"/>
  <c r="C195" i="5"/>
  <c r="B195" i="5"/>
  <c r="C194" i="5"/>
  <c r="B194" i="5"/>
  <c r="C193" i="5"/>
  <c r="B193" i="5"/>
  <c r="C192" i="5"/>
  <c r="B192" i="5"/>
  <c r="C191" i="5"/>
  <c r="B191" i="5"/>
  <c r="C190" i="5"/>
  <c r="B190" i="5"/>
  <c r="C189" i="5"/>
  <c r="B189" i="5"/>
  <c r="C188" i="5"/>
  <c r="B188" i="5"/>
  <c r="C187" i="5"/>
  <c r="B187" i="5"/>
  <c r="C186" i="5"/>
  <c r="B186" i="5"/>
  <c r="C185" i="5"/>
  <c r="B185" i="5"/>
  <c r="C184" i="5"/>
  <c r="B184" i="5"/>
  <c r="C183" i="5"/>
  <c r="B183" i="5"/>
  <c r="C182" i="5"/>
  <c r="B182" i="5"/>
  <c r="C181" i="5"/>
  <c r="B181" i="5"/>
  <c r="C180" i="5"/>
  <c r="B180" i="5"/>
  <c r="C179" i="5"/>
  <c r="B179" i="5"/>
  <c r="C178" i="5"/>
  <c r="B178" i="5"/>
  <c r="C177" i="5"/>
  <c r="B177" i="5"/>
  <c r="C176" i="5"/>
  <c r="B176" i="5"/>
  <c r="C175" i="5"/>
  <c r="B175" i="5"/>
  <c r="C174" i="5"/>
  <c r="B174" i="5"/>
  <c r="C173" i="5"/>
  <c r="B173" i="5"/>
  <c r="C172" i="5"/>
  <c r="B172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C164" i="5"/>
  <c r="B164" i="5"/>
  <c r="C163" i="5"/>
  <c r="B163" i="5"/>
  <c r="C162" i="5"/>
  <c r="B162" i="5"/>
  <c r="C161" i="5"/>
  <c r="B161" i="5"/>
  <c r="C160" i="5"/>
  <c r="B160" i="5"/>
  <c r="C159" i="5"/>
  <c r="B159" i="5"/>
  <c r="C158" i="5"/>
  <c r="B158" i="5"/>
  <c r="C157" i="5"/>
  <c r="B157" i="5"/>
  <c r="C156" i="5"/>
  <c r="B156" i="5"/>
  <c r="C155" i="5"/>
  <c r="B155" i="5"/>
  <c r="C154" i="5"/>
  <c r="B154" i="5"/>
  <c r="C153" i="5"/>
  <c r="B153" i="5"/>
  <c r="C152" i="5"/>
  <c r="B152" i="5"/>
  <c r="C151" i="5"/>
  <c r="B151" i="5"/>
  <c r="C150" i="5"/>
  <c r="B150" i="5"/>
  <c r="C149" i="5"/>
  <c r="B149" i="5"/>
  <c r="C148" i="5"/>
  <c r="B148" i="5"/>
  <c r="C147" i="5"/>
  <c r="B147" i="5"/>
  <c r="C146" i="5"/>
  <c r="B146" i="5"/>
  <c r="C145" i="5"/>
  <c r="B145" i="5"/>
  <c r="C144" i="5"/>
  <c r="B144" i="5"/>
  <c r="C143" i="5"/>
  <c r="B143" i="5"/>
  <c r="C142" i="5"/>
  <c r="B142" i="5"/>
  <c r="C141" i="5"/>
  <c r="B141" i="5"/>
  <c r="C140" i="5"/>
  <c r="B140" i="5"/>
  <c r="C139" i="5"/>
  <c r="B139" i="5"/>
  <c r="C138" i="5"/>
  <c r="B138" i="5"/>
  <c r="C137" i="5"/>
  <c r="B137" i="5"/>
  <c r="C136" i="5"/>
  <c r="B136" i="5"/>
  <c r="C135" i="5"/>
  <c r="B135" i="5"/>
  <c r="C134" i="5"/>
  <c r="B134" i="5"/>
  <c r="C133" i="5"/>
  <c r="B133" i="5"/>
  <c r="C132" i="5"/>
  <c r="B132" i="5"/>
  <c r="C131" i="5"/>
  <c r="B131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N8" i="4"/>
  <c r="O8" i="4"/>
  <c r="P8" i="4"/>
  <c r="Q8" i="4"/>
  <c r="R8" i="4"/>
  <c r="S8" i="4"/>
  <c r="M8" i="4"/>
  <c r="U8" i="4"/>
  <c r="V8" i="4"/>
  <c r="W8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T8" i="4"/>
  <c r="D8" i="4"/>
  <c r="C8" i="4"/>
  <c r="B8" i="4"/>
  <c r="D7" i="4"/>
  <c r="C7" i="4"/>
  <c r="B7" i="4"/>
  <c r="D6" i="4"/>
  <c r="C6" i="4"/>
  <c r="B6" i="4"/>
  <c r="D5" i="4"/>
  <c r="C5" i="4"/>
  <c r="B5" i="4"/>
  <c r="Q8" i="3"/>
  <c r="X8" i="3" s="1"/>
  <c r="W8" i="3"/>
  <c r="X3" i="3" s="1"/>
  <c r="Y3" i="3" s="1"/>
  <c r="D181" i="3"/>
  <c r="C181" i="3"/>
  <c r="B181" i="3"/>
  <c r="D180" i="3"/>
  <c r="C180" i="3"/>
  <c r="B180" i="3"/>
  <c r="D179" i="3"/>
  <c r="C179" i="3"/>
  <c r="B179" i="3"/>
  <c r="D178" i="3"/>
  <c r="C178" i="3"/>
  <c r="B178" i="3"/>
  <c r="D177" i="3"/>
  <c r="C177" i="3"/>
  <c r="B177" i="3"/>
  <c r="D176" i="3"/>
  <c r="C176" i="3"/>
  <c r="B176" i="3"/>
  <c r="D175" i="3"/>
  <c r="C175" i="3"/>
  <c r="B175" i="3"/>
  <c r="D174" i="3"/>
  <c r="C174" i="3"/>
  <c r="B174" i="3"/>
  <c r="D173" i="3"/>
  <c r="C173" i="3"/>
  <c r="B173" i="3"/>
  <c r="D172" i="3"/>
  <c r="C172" i="3"/>
  <c r="B172" i="3"/>
  <c r="D171" i="3"/>
  <c r="C171" i="3"/>
  <c r="B171" i="3"/>
  <c r="D170" i="3"/>
  <c r="C170" i="3"/>
  <c r="B170" i="3"/>
  <c r="D169" i="3"/>
  <c r="C169" i="3"/>
  <c r="B169" i="3"/>
  <c r="D168" i="3"/>
  <c r="C168" i="3"/>
  <c r="B168" i="3"/>
  <c r="D167" i="3"/>
  <c r="C167" i="3"/>
  <c r="B167" i="3"/>
  <c r="D166" i="3"/>
  <c r="C166" i="3"/>
  <c r="B166" i="3"/>
  <c r="D281" i="3"/>
  <c r="C281" i="3"/>
  <c r="B281" i="3"/>
  <c r="D280" i="3"/>
  <c r="C280" i="3"/>
  <c r="B280" i="3"/>
  <c r="D279" i="3"/>
  <c r="C279" i="3"/>
  <c r="B279" i="3"/>
  <c r="D278" i="3"/>
  <c r="C278" i="3"/>
  <c r="B278" i="3"/>
  <c r="D277" i="3"/>
  <c r="C277" i="3"/>
  <c r="B277" i="3"/>
  <c r="D276" i="3"/>
  <c r="C276" i="3"/>
  <c r="B276" i="3"/>
  <c r="D275" i="3"/>
  <c r="C275" i="3"/>
  <c r="B275" i="3"/>
  <c r="D274" i="3"/>
  <c r="C274" i="3"/>
  <c r="B274" i="3"/>
  <c r="D273" i="3"/>
  <c r="C273" i="3"/>
  <c r="B273" i="3"/>
  <c r="D272" i="3"/>
  <c r="C272" i="3"/>
  <c r="B272" i="3"/>
  <c r="D271" i="3"/>
  <c r="C271" i="3"/>
  <c r="B271" i="3"/>
  <c r="D270" i="3"/>
  <c r="C270" i="3"/>
  <c r="B270" i="3"/>
  <c r="D269" i="3"/>
  <c r="C269" i="3"/>
  <c r="B269" i="3"/>
  <c r="D268" i="3"/>
  <c r="C268" i="3"/>
  <c r="B268" i="3"/>
  <c r="D267" i="3"/>
  <c r="C267" i="3"/>
  <c r="B267" i="3"/>
  <c r="D266" i="3"/>
  <c r="C266" i="3"/>
  <c r="B266" i="3"/>
  <c r="V8" i="3"/>
  <c r="R8" i="3"/>
  <c r="S8" i="3"/>
  <c r="T8" i="3"/>
  <c r="U8" i="3"/>
  <c r="N8" i="3"/>
  <c r="M8" i="3"/>
  <c r="O8" i="3"/>
  <c r="P8" i="3"/>
  <c r="D265" i="3"/>
  <c r="C265" i="3"/>
  <c r="B265" i="3"/>
  <c r="D264" i="3"/>
  <c r="C264" i="3"/>
  <c r="B264" i="3"/>
  <c r="D263" i="3"/>
  <c r="C263" i="3"/>
  <c r="B263" i="3"/>
  <c r="D262" i="3"/>
  <c r="C262" i="3"/>
  <c r="B262" i="3"/>
  <c r="D261" i="3"/>
  <c r="C261" i="3"/>
  <c r="B261" i="3"/>
  <c r="D260" i="3"/>
  <c r="C260" i="3"/>
  <c r="B260" i="3"/>
  <c r="D259" i="3"/>
  <c r="C259" i="3"/>
  <c r="B259" i="3"/>
  <c r="D258" i="3"/>
  <c r="C258" i="3"/>
  <c r="B258" i="3"/>
  <c r="D257" i="3"/>
  <c r="C257" i="3"/>
  <c r="B257" i="3"/>
  <c r="D256" i="3"/>
  <c r="C256" i="3"/>
  <c r="B256" i="3"/>
  <c r="D255" i="3"/>
  <c r="C255" i="3"/>
  <c r="B255" i="3"/>
  <c r="D254" i="3"/>
  <c r="C254" i="3"/>
  <c r="B254" i="3"/>
  <c r="D253" i="3"/>
  <c r="C253" i="3"/>
  <c r="B253" i="3"/>
  <c r="D252" i="3"/>
  <c r="C252" i="3"/>
  <c r="B252" i="3"/>
  <c r="D251" i="3"/>
  <c r="C251" i="3"/>
  <c r="B251" i="3"/>
  <c r="D250" i="3"/>
  <c r="C250" i="3"/>
  <c r="B250" i="3"/>
  <c r="D165" i="3"/>
  <c r="C165" i="3"/>
  <c r="B165" i="3"/>
  <c r="D164" i="3"/>
  <c r="C164" i="3"/>
  <c r="B164" i="3"/>
  <c r="D163" i="3"/>
  <c r="C163" i="3"/>
  <c r="B163" i="3"/>
  <c r="D162" i="3"/>
  <c r="C162" i="3"/>
  <c r="B162" i="3"/>
  <c r="D161" i="3"/>
  <c r="C161" i="3"/>
  <c r="B161" i="3"/>
  <c r="D160" i="3"/>
  <c r="C160" i="3"/>
  <c r="B160" i="3"/>
  <c r="D159" i="3"/>
  <c r="C159" i="3"/>
  <c r="B159" i="3"/>
  <c r="D158" i="3"/>
  <c r="C158" i="3"/>
  <c r="B158" i="3"/>
  <c r="D157" i="3"/>
  <c r="C157" i="3"/>
  <c r="B157" i="3"/>
  <c r="D156" i="3"/>
  <c r="C156" i="3"/>
  <c r="B156" i="3"/>
  <c r="D155" i="3"/>
  <c r="C155" i="3"/>
  <c r="B155" i="3"/>
  <c r="D154" i="3"/>
  <c r="C154" i="3"/>
  <c r="B154" i="3"/>
  <c r="D153" i="3"/>
  <c r="C153" i="3"/>
  <c r="B153" i="3"/>
  <c r="D152" i="3"/>
  <c r="C152" i="3"/>
  <c r="B152" i="3"/>
  <c r="D151" i="3"/>
  <c r="C151" i="3"/>
  <c r="B151" i="3"/>
  <c r="D150" i="3"/>
  <c r="C150" i="3"/>
  <c r="B150" i="3"/>
  <c r="D149" i="3"/>
  <c r="C149" i="3"/>
  <c r="B149" i="3"/>
  <c r="D148" i="3"/>
  <c r="C148" i="3"/>
  <c r="B148" i="3"/>
  <c r="D147" i="3"/>
  <c r="C147" i="3"/>
  <c r="B147" i="3"/>
  <c r="D146" i="3"/>
  <c r="C146" i="3"/>
  <c r="B146" i="3"/>
  <c r="D145" i="3"/>
  <c r="C145" i="3"/>
  <c r="B145" i="3"/>
  <c r="D144" i="3"/>
  <c r="C144" i="3"/>
  <c r="B144" i="3"/>
  <c r="D143" i="3"/>
  <c r="C143" i="3"/>
  <c r="B143" i="3"/>
  <c r="D142" i="3"/>
  <c r="C142" i="3"/>
  <c r="B142" i="3"/>
  <c r="D141" i="3"/>
  <c r="C141" i="3"/>
  <c r="B141" i="3"/>
  <c r="D140" i="3"/>
  <c r="C140" i="3"/>
  <c r="B140" i="3"/>
  <c r="D139" i="3"/>
  <c r="C139" i="3"/>
  <c r="B139" i="3"/>
  <c r="D138" i="3"/>
  <c r="C138" i="3"/>
  <c r="B138" i="3"/>
  <c r="D137" i="3"/>
  <c r="C137" i="3"/>
  <c r="B137" i="3"/>
  <c r="D136" i="3"/>
  <c r="C136" i="3"/>
  <c r="B136" i="3"/>
  <c r="D135" i="3"/>
  <c r="C135" i="3"/>
  <c r="B135" i="3"/>
  <c r="D134" i="3"/>
  <c r="C134" i="3"/>
  <c r="B134" i="3"/>
  <c r="D54" i="3"/>
  <c r="C54" i="3"/>
  <c r="B54" i="3"/>
  <c r="D53" i="3"/>
  <c r="C53" i="3"/>
  <c r="B53" i="3"/>
  <c r="D249" i="3"/>
  <c r="C249" i="3"/>
  <c r="B249" i="3"/>
  <c r="D248" i="3"/>
  <c r="C248" i="3"/>
  <c r="B248" i="3"/>
  <c r="D247" i="3"/>
  <c r="C247" i="3"/>
  <c r="B247" i="3"/>
  <c r="D246" i="3"/>
  <c r="C246" i="3"/>
  <c r="B246" i="3"/>
  <c r="D245" i="3"/>
  <c r="C245" i="3"/>
  <c r="B245" i="3"/>
  <c r="D244" i="3"/>
  <c r="C244" i="3"/>
  <c r="B244" i="3"/>
  <c r="D243" i="3"/>
  <c r="C243" i="3"/>
  <c r="B243" i="3"/>
  <c r="D242" i="3"/>
  <c r="C242" i="3"/>
  <c r="B242" i="3"/>
  <c r="D241" i="3"/>
  <c r="C241" i="3"/>
  <c r="B241" i="3"/>
  <c r="D240" i="3"/>
  <c r="C240" i="3"/>
  <c r="B240" i="3"/>
  <c r="D239" i="3"/>
  <c r="C239" i="3"/>
  <c r="B239" i="3"/>
  <c r="D238" i="3"/>
  <c r="C238" i="3"/>
  <c r="B238" i="3"/>
  <c r="D237" i="3"/>
  <c r="C237" i="3"/>
  <c r="B237" i="3"/>
  <c r="D236" i="3"/>
  <c r="C236" i="3"/>
  <c r="B236" i="3"/>
  <c r="D235" i="3"/>
  <c r="C235" i="3"/>
  <c r="B235" i="3"/>
  <c r="D234" i="3"/>
  <c r="C234" i="3"/>
  <c r="B234" i="3"/>
  <c r="B116" i="3"/>
  <c r="C116" i="3"/>
  <c r="D116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C95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76" i="3"/>
  <c r="C76" i="3"/>
  <c r="B76" i="3"/>
  <c r="D75" i="3"/>
  <c r="C75" i="3"/>
  <c r="B75" i="3"/>
  <c r="D74" i="3"/>
  <c r="C74" i="3"/>
  <c r="B74" i="3"/>
  <c r="C286" i="3"/>
  <c r="B286" i="3"/>
  <c r="D233" i="3"/>
  <c r="C233" i="3"/>
  <c r="B233" i="3"/>
  <c r="D232" i="3"/>
  <c r="C232" i="3"/>
  <c r="B232" i="3"/>
  <c r="D231" i="3"/>
  <c r="C231" i="3"/>
  <c r="B231" i="3"/>
  <c r="D230" i="3"/>
  <c r="C230" i="3"/>
  <c r="B230" i="3"/>
  <c r="D229" i="3"/>
  <c r="C229" i="3"/>
  <c r="B229" i="3"/>
  <c r="D228" i="3"/>
  <c r="C228" i="3"/>
  <c r="B228" i="3"/>
  <c r="D227" i="3"/>
  <c r="C227" i="3"/>
  <c r="B227" i="3"/>
  <c r="D226" i="3"/>
  <c r="C226" i="3"/>
  <c r="B226" i="3"/>
  <c r="D225" i="3"/>
  <c r="C225" i="3"/>
  <c r="B225" i="3"/>
  <c r="D224" i="3"/>
  <c r="C224" i="3"/>
  <c r="B224" i="3"/>
  <c r="D223" i="3"/>
  <c r="C223" i="3"/>
  <c r="B223" i="3"/>
  <c r="D222" i="3"/>
  <c r="C222" i="3"/>
  <c r="B222" i="3"/>
  <c r="D221" i="3"/>
  <c r="C221" i="3"/>
  <c r="B221" i="3"/>
  <c r="D220" i="3"/>
  <c r="C220" i="3"/>
  <c r="B220" i="3"/>
  <c r="D219" i="3"/>
  <c r="C219" i="3"/>
  <c r="B219" i="3"/>
  <c r="D218" i="3"/>
  <c r="C218" i="3"/>
  <c r="B218" i="3"/>
  <c r="D217" i="3"/>
  <c r="C217" i="3"/>
  <c r="B217" i="3"/>
  <c r="D216" i="3"/>
  <c r="C216" i="3"/>
  <c r="B216" i="3"/>
  <c r="D215" i="3"/>
  <c r="C215" i="3"/>
  <c r="B215" i="3"/>
  <c r="D214" i="3"/>
  <c r="C214" i="3"/>
  <c r="B214" i="3"/>
  <c r="D213" i="3"/>
  <c r="C213" i="3"/>
  <c r="B213" i="3"/>
  <c r="D212" i="3"/>
  <c r="C212" i="3"/>
  <c r="B212" i="3"/>
  <c r="D211" i="3"/>
  <c r="C211" i="3"/>
  <c r="B211" i="3"/>
  <c r="D210" i="3"/>
  <c r="C210" i="3"/>
  <c r="B210" i="3"/>
  <c r="D209" i="3"/>
  <c r="C209" i="3"/>
  <c r="B209" i="3"/>
  <c r="D208" i="3"/>
  <c r="C208" i="3"/>
  <c r="B208" i="3"/>
  <c r="D207" i="3"/>
  <c r="C207" i="3"/>
  <c r="B207" i="3"/>
  <c r="D206" i="3"/>
  <c r="C206" i="3"/>
  <c r="B206" i="3"/>
  <c r="D205" i="3"/>
  <c r="C205" i="3"/>
  <c r="B205" i="3"/>
  <c r="D204" i="3"/>
  <c r="C204" i="3"/>
  <c r="B204" i="3"/>
  <c r="D203" i="3"/>
  <c r="C203" i="3"/>
  <c r="B203" i="3"/>
  <c r="D202" i="3"/>
  <c r="C202" i="3"/>
  <c r="B202" i="3"/>
  <c r="D201" i="3"/>
  <c r="C201" i="3"/>
  <c r="B201" i="3"/>
  <c r="D200" i="3"/>
  <c r="C200" i="3"/>
  <c r="B200" i="3"/>
  <c r="D199" i="3"/>
  <c r="C199" i="3"/>
  <c r="B199" i="3"/>
  <c r="D198" i="3"/>
  <c r="C198" i="3"/>
  <c r="B198" i="3"/>
  <c r="D197" i="3"/>
  <c r="C197" i="3"/>
  <c r="B197" i="3"/>
  <c r="D196" i="3"/>
  <c r="C196" i="3"/>
  <c r="B196" i="3"/>
  <c r="D195" i="3"/>
  <c r="C195" i="3"/>
  <c r="B195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D117" i="3"/>
  <c r="C117" i="3"/>
  <c r="B117" i="3"/>
  <c r="D115" i="3"/>
  <c r="C115" i="3"/>
  <c r="B115" i="3"/>
  <c r="D114" i="3"/>
  <c r="C114" i="3"/>
  <c r="B114" i="3"/>
  <c r="D113" i="3"/>
  <c r="C113" i="3"/>
  <c r="B113" i="3"/>
  <c r="D112" i="3"/>
  <c r="C112" i="3"/>
  <c r="B112" i="3"/>
  <c r="D111" i="3"/>
  <c r="C111" i="3"/>
  <c r="B111" i="3"/>
  <c r="D110" i="3"/>
  <c r="C110" i="3"/>
  <c r="B110" i="3"/>
  <c r="D109" i="3"/>
  <c r="C109" i="3"/>
  <c r="B109" i="3"/>
  <c r="D108" i="3"/>
  <c r="C108" i="3"/>
  <c r="B108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3" i="3"/>
  <c r="C103" i="3"/>
  <c r="B103" i="3"/>
  <c r="D102" i="3"/>
  <c r="C102" i="3"/>
  <c r="B102" i="3"/>
  <c r="D101" i="3"/>
  <c r="C101" i="3"/>
  <c r="B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B95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C168" i="1"/>
  <c r="B168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Q8" i="1"/>
  <c r="P8" i="1"/>
  <c r="O8" i="1"/>
  <c r="N8" i="1"/>
  <c r="M8" i="1"/>
  <c r="L8" i="1"/>
  <c r="X8" i="4" l="1"/>
  <c r="M4" i="3"/>
  <c r="R8" i="1"/>
</calcChain>
</file>

<file path=xl/sharedStrings.xml><?xml version="1.0" encoding="utf-8"?>
<sst xmlns="http://schemas.openxmlformats.org/spreadsheetml/2006/main" count="2388" uniqueCount="576">
  <si>
    <t>周波数が高いものは基本下の方に</t>
  </si>
  <si>
    <t>ID(DEC)</t>
  </si>
  <si>
    <t>ID(BIN)</t>
  </si>
  <si>
    <t>ID(HEX)</t>
  </si>
  <si>
    <t>フォーマット</t>
  </si>
  <si>
    <t>CCP.hの表記</t>
  </si>
  <si>
    <t>データ内容</t>
  </si>
  <si>
    <t>周波数</t>
  </si>
  <si>
    <t>送信ノード</t>
  </si>
  <si>
    <t>ノード</t>
  </si>
  <si>
    <t>Sensor</t>
  </si>
  <si>
    <t>Record</t>
  </si>
  <si>
    <t>LoRa</t>
  </si>
  <si>
    <t>FastLogger</t>
  </si>
  <si>
    <t>PowerCamera</t>
  </si>
  <si>
    <t>Opener</t>
  </si>
  <si>
    <t>総送信レート</t>
  </si>
  <si>
    <t>使用禁止(バグるとたまにID0で受信するから)</t>
  </si>
  <si>
    <t>ダウンリンク(それぞれ1Hz)：開放・機体回収にかかわるもの</t>
  </si>
  <si>
    <t>GPS緯度</t>
  </si>
  <si>
    <t>GPS経度</t>
  </si>
  <si>
    <t>GPS高度</t>
  </si>
  <si>
    <t>減速機構判定報告</t>
  </si>
  <si>
    <t>BME高度</t>
  </si>
  <si>
    <t>CCP_parachute_fuse</t>
  </si>
  <si>
    <t>減速機構開放禁止命令(      ,CLEAR)</t>
  </si>
  <si>
    <t>単発</t>
  </si>
  <si>
    <t>BME高度2</t>
  </si>
  <si>
    <t>CCP_parachute_control</t>
  </si>
  <si>
    <t>減速機構制御命令(OPEN,CLOSE)</t>
  </si>
  <si>
    <t>MPU加速度</t>
  </si>
  <si>
    <t>CCP_lift_off_judge</t>
  </si>
  <si>
    <t>減速機構状態報告(BMESEN,BMELGO,MPUSEN,MPULOG )</t>
  </si>
  <si>
    <t>MPU加速度２</t>
  </si>
  <si>
    <t>CCP_open_judge</t>
  </si>
  <si>
    <t>減速機構判定報告(CCCCCC)</t>
  </si>
  <si>
    <t>メイン電圧</t>
  </si>
  <si>
    <t>CCP_opener_control</t>
  </si>
  <si>
    <t>(CHECK,READY)</t>
  </si>
  <si>
    <t>CCP_opener_state</t>
  </si>
  <si>
    <t>(CHECK,READY,FLIGHT,OPENED)</t>
  </si>
  <si>
    <t>減速機構判定報告(OP-SW,CL-SW,OPTIME,CLAC)</t>
  </si>
  <si>
    <t>CCP_opener_source</t>
  </si>
  <si>
    <t>(SENSEN,LOGLOG)</t>
  </si>
  <si>
    <t>CCP_A_control</t>
  </si>
  <si>
    <t>(BEGIN)</t>
  </si>
  <si>
    <t>CCP_A_state</t>
  </si>
  <si>
    <t>(BEGIN,ERR)</t>
  </si>
  <si>
    <t>CCP_B_control</t>
  </si>
  <si>
    <t>CCP_B_state</t>
  </si>
  <si>
    <t>(ERR)</t>
  </si>
  <si>
    <t>CCP_camera_control</t>
  </si>
  <si>
    <t>カメラ制御命令(START ,STOP  )</t>
  </si>
  <si>
    <t>CCP_camera_state</t>
  </si>
  <si>
    <t>カメラ状態報告(REC ,SLEEP )</t>
  </si>
  <si>
    <t>CCP_A_flash_control</t>
  </si>
  <si>
    <t>(CHECK ,START, STOP, CLEAR)</t>
  </si>
  <si>
    <t>CCP_A_flash_state</t>
  </si>
  <si>
    <t>(OK-CLR, NOTCLR, ACTIVE, SLEEP, CLRING)</t>
  </si>
  <si>
    <t>CCP_B_flash_control</t>
  </si>
  <si>
    <t>CCP_B_flash_state</t>
  </si>
  <si>
    <t>CCP_C_flash_control</t>
  </si>
  <si>
    <t>CCP_C_flash_state</t>
  </si>
  <si>
    <t>CCP_D_flash_control</t>
  </si>
  <si>
    <t>CCP_D_flash_state</t>
  </si>
  <si>
    <t>CCP_lift_off_time_ms</t>
  </si>
  <si>
    <t>離床時刻</t>
  </si>
  <si>
    <t>CCP_open_time_ms</t>
  </si>
  <si>
    <t>開放時刻</t>
  </si>
  <si>
    <t>CCP_GNSS_A_latitude_udeg</t>
  </si>
  <si>
    <t>GNSS_A(緯度[udeg])　マイクロ 度</t>
  </si>
  <si>
    <t>CCP_GNSS_A_longitude_udeg</t>
  </si>
  <si>
    <t>GNSS_A(経度[udeg])　マイクロ 度</t>
  </si>
  <si>
    <t>CCP_GNSS_A_altitude_mm</t>
  </si>
  <si>
    <t>GNSS_A(高度[mm])　ミリ メートル</t>
  </si>
  <si>
    <t>CCP_GNSS_A_time_ms</t>
  </si>
  <si>
    <t>GNSS_A(JTC[ms])　ミリ 秒</t>
  </si>
  <si>
    <t>GNSS_B(緯度[udeg])　マイクロ 度</t>
  </si>
  <si>
    <t>GNSS_B(経度[udeg])　マイクロ 度</t>
  </si>
  <si>
    <t>GNSS_B(高度[mm])　ミリ メートル</t>
  </si>
  <si>
    <t>GNSS_B(JTC[ms])　ミリ 秒</t>
  </si>
  <si>
    <t>CCP_open_time_s</t>
  </si>
  <si>
    <t>頂点到達までの時間[s]</t>
  </si>
  <si>
    <t>CCP_A_pressure_altitude_m</t>
  </si>
  <si>
    <t>標準大気圧基準高度[m]</t>
  </si>
  <si>
    <t>CCP_A_pressure_hPa</t>
  </si>
  <si>
    <t>気圧[hPa]</t>
  </si>
  <si>
    <t>CCP_A_temperature_C</t>
  </si>
  <si>
    <t>気温[℃]</t>
  </si>
  <si>
    <t>CCP_A_humidity_percent</t>
  </si>
  <si>
    <t>湿度[%]</t>
  </si>
  <si>
    <t>燃焼圧</t>
  </si>
  <si>
    <t>ピトー管</t>
  </si>
  <si>
    <t>CCP_voltage_main_V</t>
  </si>
  <si>
    <t>電源電圧</t>
  </si>
  <si>
    <t>CCP_B_pressure_altitude_m</t>
  </si>
  <si>
    <t>CCP_B_pressure_hPa</t>
  </si>
  <si>
    <t>CCP_B_temperature_deg</t>
  </si>
  <si>
    <t>CCP_B_humidity_percent</t>
  </si>
  <si>
    <t>CCP_voltage_actuator_V</t>
  </si>
  <si>
    <t>CCP_A_accel_mss</t>
  </si>
  <si>
    <t>加速度(acX[m/s^2],acY[m/s^2], acZ[m/s^2])</t>
  </si>
  <si>
    <t>MPU</t>
  </si>
  <si>
    <t>CCP_A_gyro_rads</t>
  </si>
  <si>
    <t>角速度(gyX[rad/s],gyY[rad/s],gyZ[rad/s])</t>
  </si>
  <si>
    <t>CCP_A_mag_uT</t>
  </si>
  <si>
    <t>地磁気(maX[uT],maY[uT],maZ[uT])</t>
  </si>
  <si>
    <t>CCP_A_euler_rad</t>
  </si>
  <si>
    <t>オイラー角()</t>
  </si>
  <si>
    <t>姿勢(未定(クォータニオンとか?))</t>
  </si>
  <si>
    <t>CCP_B_accel</t>
  </si>
  <si>
    <t>CCP_B_gyro</t>
  </si>
  <si>
    <t>CCP_B_mag</t>
  </si>
  <si>
    <t>CCP_B_euler</t>
  </si>
  <si>
    <t>姿勢_B(マイコン動作時間[秒,uint],未定(クォータニオンとか?))</t>
  </si>
  <si>
    <t>CCP_C_accel</t>
  </si>
  <si>
    <t>ADXL375</t>
  </si>
  <si>
    <t>CCP_C_gyro</t>
  </si>
  <si>
    <t>CCP_C_mag</t>
  </si>
  <si>
    <t>CCP_C_euler</t>
  </si>
  <si>
    <t>CANID</t>
  </si>
  <si>
    <t>用途</t>
  </si>
  <si>
    <t>0x000~</t>
  </si>
  <si>
    <t>秒(uint16_t)</t>
  </si>
  <si>
    <t>文字列</t>
  </si>
  <si>
    <t>0x100~</t>
  </si>
  <si>
    <t>0x200~</t>
  </si>
  <si>
    <t>0x300~</t>
  </si>
  <si>
    <t>0x400~</t>
  </si>
  <si>
    <t>ミリ秒(unsigned long)</t>
  </si>
  <si>
    <t>uint32_t</t>
  </si>
  <si>
    <t>有効数字が7桁では足りないもの。GPSぐらい？</t>
  </si>
  <si>
    <t>0x500~</t>
  </si>
  <si>
    <t>uitn16_t</t>
  </si>
  <si>
    <t>0x600~</t>
  </si>
  <si>
    <t>float</t>
  </si>
  <si>
    <t>基本はこれ。有効数字は10進数で7桁ちょい</t>
  </si>
  <si>
    <t>0x700~</t>
  </si>
  <si>
    <t>fp16</t>
  </si>
  <si>
    <t>高速で記録する必要があるもの。FP16は10進数で有効数字3桁ちょい</t>
  </si>
  <si>
    <r>
      <rPr>
        <sz val="10"/>
        <color theme="1"/>
        <rFont val="ＭＳ ゴシック"/>
        <family val="3"/>
        <charset val="128"/>
      </rPr>
      <t>基本使わない、</t>
    </r>
    <r>
      <rPr>
        <sz val="10"/>
        <color theme="1"/>
        <rFont val="Arial"/>
        <family val="2"/>
        <scheme val="minor"/>
      </rPr>
      <t>CANVAS</t>
    </r>
    <r>
      <rPr>
        <sz val="10"/>
        <color theme="1"/>
        <rFont val="ＭＳ ゴシック"/>
        <family val="3"/>
        <charset val="128"/>
      </rPr>
      <t>では未実装</t>
    </r>
    <phoneticPr fontId="5"/>
  </si>
  <si>
    <t>備考</t>
    <rPh sb="0" eb="2">
      <t>ビコウ</t>
    </rPh>
    <phoneticPr fontId="5"/>
  </si>
  <si>
    <t>合計</t>
    <rPh sb="0" eb="2">
      <t>ゴウケイ</t>
    </rPh>
    <phoneticPr fontId="5"/>
  </si>
  <si>
    <t>値が小さいほど優先</t>
    <rPh sb="0" eb="1">
      <t>アタイ</t>
    </rPh>
    <rPh sb="2" eb="3">
      <t>チイ</t>
    </rPh>
    <rPh sb="7" eb="9">
      <t>ユウセン</t>
    </rPh>
    <phoneticPr fontId="5"/>
  </si>
  <si>
    <t>1Mbpsで合計4000Hzが限度</t>
    <phoneticPr fontId="5"/>
  </si>
  <si>
    <t>マイコンとかセンサーとか変えてもプロトコルだけ残せば技術も継承できるんじゃね？(てきとう)</t>
    <phoneticPr fontId="5"/>
  </si>
  <si>
    <t>CCP (CORE CAN Protocol)</t>
    <phoneticPr fontId="5"/>
  </si>
  <si>
    <t>Power</t>
    <phoneticPr fontId="5"/>
  </si>
  <si>
    <t>Nose</t>
    <phoneticPr fontId="5"/>
  </si>
  <si>
    <t>CCP_C_control</t>
    <phoneticPr fontId="5"/>
  </si>
  <si>
    <t>CCP_C_state</t>
    <phoneticPr fontId="5"/>
  </si>
  <si>
    <t>CAN外</t>
    <rPh sb="3" eb="4">
      <t>ガイ</t>
    </rPh>
    <phoneticPr fontId="5"/>
  </si>
  <si>
    <t>GPSBeacon</t>
  </si>
  <si>
    <t>GPSBeacon</t>
    <phoneticPr fontId="5"/>
  </si>
  <si>
    <t>GNSS_B(緯度[udeg])　マイクロ 度</t>
    <phoneticPr fontId="5"/>
  </si>
  <si>
    <t>GNSS_B(経度[udeg])　マイクロ 度</t>
    <phoneticPr fontId="5"/>
  </si>
  <si>
    <t>GNSS_B(高度[mm])　ミリ メートル</t>
    <phoneticPr fontId="5"/>
  </si>
  <si>
    <t>GNSS_B(JTC[ms])　ミリ 秒</t>
    <phoneticPr fontId="5"/>
  </si>
  <si>
    <t>GNSS_C(緯度[udeg])　マイクロ 度</t>
    <phoneticPr fontId="5"/>
  </si>
  <si>
    <t>GNSS_C(経度[udeg])　マイクロ 度</t>
    <phoneticPr fontId="5"/>
  </si>
  <si>
    <t>GNSS_C(高度[mm])　ミリ メートル</t>
    <phoneticPr fontId="5"/>
  </si>
  <si>
    <t>GNSS_C(JTC[ms])　ミリ 秒</t>
    <phoneticPr fontId="5"/>
  </si>
  <si>
    <t>CCP_GNSS_C_time_ms</t>
    <phoneticPr fontId="5"/>
  </si>
  <si>
    <t>CCP_GNSS_C_altitude_mm</t>
    <phoneticPr fontId="5"/>
  </si>
  <si>
    <t>CCP_GNSS_C_longitude_udeg</t>
    <phoneticPr fontId="5"/>
  </si>
  <si>
    <t>CCP_GNSS_C_latitude_udeg</t>
    <phoneticPr fontId="5"/>
  </si>
  <si>
    <t>CCP_GNSS_B_time_ms</t>
    <phoneticPr fontId="5"/>
  </si>
  <si>
    <t>CCP_GNSS_B_latitude_udeg</t>
    <phoneticPr fontId="5"/>
  </si>
  <si>
    <t>CCP_GNSS_B_longitude_udeg</t>
    <phoneticPr fontId="5"/>
  </si>
  <si>
    <t>CCP_GNSS_B_altitude_mm</t>
    <phoneticPr fontId="5"/>
  </si>
  <si>
    <t>BMP</t>
    <phoneticPr fontId="5"/>
  </si>
  <si>
    <t>CCP_voltage_valve_V</t>
    <phoneticPr fontId="5"/>
  </si>
  <si>
    <t>ピトー管差圧[Pa]</t>
    <rPh sb="4" eb="6">
      <t>サアツ</t>
    </rPh>
    <phoneticPr fontId="5"/>
  </si>
  <si>
    <t>ピトー管対気速度[m/s]</t>
    <rPh sb="4" eb="8">
      <t>タイキソクド</t>
    </rPh>
    <phoneticPr fontId="5"/>
  </si>
  <si>
    <t>CCP_voltage_main_V</t>
    <phoneticPr fontId="5"/>
  </si>
  <si>
    <t>加速度(acX[m/s^2],acY[m/s^2], acZ[m/s^2])</t>
    <phoneticPr fontId="5"/>
  </si>
  <si>
    <t>線形加速度ベクトル(acX[m/s^2],acY[m/s^2], acZ[m/s^2])</t>
    <phoneticPr fontId="5"/>
  </si>
  <si>
    <t>CCP_A_accel_mss</t>
    <phoneticPr fontId="5"/>
  </si>
  <si>
    <t>CCP_B_accel_mss</t>
    <phoneticPr fontId="5"/>
  </si>
  <si>
    <t>CCP_B_accel_G_cancel_mss</t>
    <phoneticPr fontId="5"/>
  </si>
  <si>
    <t>CCP_A_gyro_rads</t>
    <phoneticPr fontId="5"/>
  </si>
  <si>
    <t>CCP_B_gyro_rads</t>
    <phoneticPr fontId="5"/>
  </si>
  <si>
    <t>CCP_A_mag_uT</t>
    <phoneticPr fontId="5"/>
  </si>
  <si>
    <t>CCP_B_mag_uT</t>
    <phoneticPr fontId="5"/>
  </si>
  <si>
    <t>CCP_A_euler_rad</t>
    <phoneticPr fontId="5"/>
  </si>
  <si>
    <t>CCP_B_euler_rad</t>
    <phoneticPr fontId="5"/>
  </si>
  <si>
    <t>CCP_C_accel_mss</t>
    <phoneticPr fontId="5"/>
  </si>
  <si>
    <t>CCP_C_gyro_rads</t>
    <phoneticPr fontId="5"/>
  </si>
  <si>
    <t>CCP_C_mag_uT</t>
    <phoneticPr fontId="5"/>
  </si>
  <si>
    <t>CCP_C_euler_rad</t>
    <phoneticPr fontId="5"/>
  </si>
  <si>
    <t>CCP_D_control</t>
    <phoneticPr fontId="5"/>
  </si>
  <si>
    <t>CCP_D_state</t>
    <phoneticPr fontId="5"/>
  </si>
  <si>
    <t>CCP_E_control</t>
    <phoneticPr fontId="5"/>
  </si>
  <si>
    <t>(CHECK,DRAIN)</t>
    <phoneticPr fontId="5"/>
  </si>
  <si>
    <t>CCP_E_state</t>
    <phoneticPr fontId="5"/>
  </si>
  <si>
    <t>(STANDBY,)</t>
    <phoneticPr fontId="5"/>
  </si>
  <si>
    <t>ダウンリンク</t>
    <phoneticPr fontId="5"/>
  </si>
  <si>
    <t>CCP_open_time_repeat_s</t>
    <phoneticPr fontId="5"/>
  </si>
  <si>
    <t>Opener</t>
    <phoneticPr fontId="5"/>
  </si>
  <si>
    <t>Communication</t>
  </si>
  <si>
    <t>CCP_F_control</t>
    <phoneticPr fontId="5"/>
  </si>
  <si>
    <t>CCP_F_state</t>
    <phoneticPr fontId="5"/>
  </si>
  <si>
    <t>(CHECK)</t>
    <phoneticPr fontId="5"/>
  </si>
  <si>
    <t>(OK)</t>
    <phoneticPr fontId="5"/>
  </si>
  <si>
    <t>Communication内部</t>
    <rPh sb="13" eb="15">
      <t>ナイブ</t>
    </rPh>
    <phoneticPr fontId="5"/>
  </si>
  <si>
    <t>Communication内部</t>
    <phoneticPr fontId="5"/>
  </si>
  <si>
    <t>CCP_lift_off_judge</t>
    <phoneticPr fontId="5"/>
  </si>
  <si>
    <t>CCP_open_judge</t>
    <phoneticPr fontId="5"/>
  </si>
  <si>
    <t>CCP_opener_state</t>
    <phoneticPr fontId="5"/>
  </si>
  <si>
    <t>CCP_opener_source</t>
    <phoneticPr fontId="5"/>
  </si>
  <si>
    <t>state</t>
    <phoneticPr fontId="5"/>
  </si>
  <si>
    <t>センサー源</t>
    <rPh sb="4" eb="5">
      <t>ゲン</t>
    </rPh>
    <phoneticPr fontId="5"/>
  </si>
  <si>
    <t>減速機構状態報告(BMESEN,BMELGO,MPUSEN,MPULOG )</t>
    <phoneticPr fontId="5"/>
  </si>
  <si>
    <t>(CHECK,READY,FLIGHT,OPENED)</t>
    <phoneticPr fontId="5"/>
  </si>
  <si>
    <t>実際の開放状態</t>
    <rPh sb="0" eb="2">
      <t>ジッサイ</t>
    </rPh>
    <rPh sb="3" eb="7">
      <t>カイホウジョウタイ</t>
    </rPh>
    <phoneticPr fontId="5"/>
  </si>
  <si>
    <t>開放禁止</t>
    <rPh sb="0" eb="2">
      <t>カイホウ</t>
    </rPh>
    <rPh sb="2" eb="4">
      <t>キンシ</t>
    </rPh>
    <phoneticPr fontId="5"/>
  </si>
  <si>
    <t>燃焼終了_時間</t>
    <rPh sb="0" eb="2">
      <t>ネンショウ</t>
    </rPh>
    <rPh sb="2" eb="4">
      <t>シュウリョウ</t>
    </rPh>
    <rPh sb="5" eb="7">
      <t>ジカン</t>
    </rPh>
    <phoneticPr fontId="5"/>
  </si>
  <si>
    <t>燃焼終了_加速度</t>
    <rPh sb="0" eb="2">
      <t>ネンショウ</t>
    </rPh>
    <rPh sb="2" eb="4">
      <t>シュウリョウ</t>
    </rPh>
    <rPh sb="5" eb="8">
      <t>カソクド</t>
    </rPh>
    <phoneticPr fontId="5"/>
  </si>
  <si>
    <t>頂点_時間</t>
    <rPh sb="0" eb="2">
      <t>チョウテン</t>
    </rPh>
    <rPh sb="3" eb="5">
      <t>ジカン</t>
    </rPh>
    <phoneticPr fontId="5"/>
  </si>
  <si>
    <t>頂点_気圧</t>
    <rPh sb="0" eb="2">
      <t>チョウテン</t>
    </rPh>
    <rPh sb="3" eb="5">
      <t>キアツ</t>
    </rPh>
    <phoneticPr fontId="5"/>
  </si>
  <si>
    <t>離床判定</t>
    <rPh sb="0" eb="2">
      <t>リショウ</t>
    </rPh>
    <rPh sb="2" eb="4">
      <t>ハンテイ</t>
    </rPh>
    <phoneticPr fontId="5"/>
  </si>
  <si>
    <t>READY</t>
    <phoneticPr fontId="5"/>
  </si>
  <si>
    <t>FLIGHT</t>
    <phoneticPr fontId="5"/>
  </si>
  <si>
    <t>OPEND</t>
    <phoneticPr fontId="5"/>
  </si>
  <si>
    <t>None</t>
    <phoneticPr fontId="5"/>
  </si>
  <si>
    <t>未使用</t>
    <rPh sb="0" eb="3">
      <t>ミシヨウ</t>
    </rPh>
    <phoneticPr fontId="5"/>
  </si>
  <si>
    <t>(START,STOP)</t>
    <phoneticPr fontId="5"/>
  </si>
  <si>
    <t>(ACTIVE,SLEEP)</t>
    <phoneticPr fontId="5"/>
  </si>
  <si>
    <t>ピトー管気圧</t>
    <rPh sb="4" eb="6">
      <t>キアツ</t>
    </rPh>
    <phoneticPr fontId="5"/>
  </si>
  <si>
    <t>ピトー管温度</t>
    <rPh sb="4" eb="6">
      <t>オンド</t>
    </rPh>
    <phoneticPr fontId="5"/>
  </si>
  <si>
    <t>ピトー管</t>
    <rPh sb="3" eb="4">
      <t>カン</t>
    </rPh>
    <phoneticPr fontId="5"/>
  </si>
  <si>
    <t>LoggerEngine</t>
  </si>
  <si>
    <t>CCP_A_chamber_pressure_V</t>
    <phoneticPr fontId="5"/>
  </si>
  <si>
    <t>燃焼圧[V]</t>
    <phoneticPr fontId="5"/>
  </si>
  <si>
    <t>LoggerEngine</t>
    <phoneticPr fontId="5"/>
  </si>
  <si>
    <t>CCP_C_pressure_altitude_m</t>
    <phoneticPr fontId="5"/>
  </si>
  <si>
    <t>CCP_C_pressure_hPa</t>
    <phoneticPr fontId="5"/>
  </si>
  <si>
    <t>CCP_C_temperature_C</t>
    <phoneticPr fontId="5"/>
  </si>
  <si>
    <t>CCP_C_humidity_percent</t>
    <phoneticPr fontId="5"/>
  </si>
  <si>
    <t>CCP_C_accel_G_cancel_mss</t>
    <phoneticPr fontId="5"/>
  </si>
  <si>
    <t>CCP_D_accel_mss</t>
    <phoneticPr fontId="5"/>
  </si>
  <si>
    <t>CCP_D_accel_G_cancel_mss</t>
    <phoneticPr fontId="5"/>
  </si>
  <si>
    <t>CCP_D_gyro_rads</t>
    <phoneticPr fontId="5"/>
  </si>
  <si>
    <t>CCP_D_mag_uT</t>
    <phoneticPr fontId="5"/>
  </si>
  <si>
    <t>CCP_D_euler_rad</t>
    <phoneticPr fontId="5"/>
  </si>
  <si>
    <t>CCP_E_flash_control</t>
    <phoneticPr fontId="5"/>
  </si>
  <si>
    <t>CCP_E_flash_state</t>
    <phoneticPr fontId="5"/>
  </si>
  <si>
    <t>CCP_D_pressure_altitude_m</t>
    <phoneticPr fontId="5"/>
  </si>
  <si>
    <t>CCP_D_pressure_hPa</t>
    <phoneticPr fontId="5"/>
  </si>
  <si>
    <t>CCP_D_temperature_C</t>
    <phoneticPr fontId="5"/>
  </si>
  <si>
    <t>CCP_D_humidity_percent</t>
    <phoneticPr fontId="5"/>
  </si>
  <si>
    <t>CCP_E_pressure_altitude_m</t>
    <phoneticPr fontId="5"/>
  </si>
  <si>
    <t>CCP_E_pressure_hPa</t>
    <phoneticPr fontId="5"/>
  </si>
  <si>
    <t>CCP_E_temperature_C</t>
    <phoneticPr fontId="5"/>
  </si>
  <si>
    <t>CCP_E_humidity_percent</t>
    <phoneticPr fontId="5"/>
  </si>
  <si>
    <t>sense</t>
    <phoneticPr fontId="5"/>
  </si>
  <si>
    <t>CCP_E_accel_mss</t>
    <phoneticPr fontId="5"/>
  </si>
  <si>
    <t>CCP_E_accel_G_cancel_mss</t>
    <phoneticPr fontId="5"/>
  </si>
  <si>
    <t>CCP_E_gyro_rads</t>
    <phoneticPr fontId="5"/>
  </si>
  <si>
    <t>CCP_E_mag_uT</t>
    <phoneticPr fontId="5"/>
  </si>
  <si>
    <t>CCP_E_euler_rad</t>
    <phoneticPr fontId="5"/>
  </si>
  <si>
    <t>bno055</t>
    <phoneticPr fontId="5"/>
  </si>
  <si>
    <t>MPU</t>
    <phoneticPr fontId="5"/>
  </si>
  <si>
    <t>Opener</t>
    <phoneticPr fontId="5"/>
  </si>
  <si>
    <t>Opener</t>
    <phoneticPr fontId="5"/>
  </si>
  <si>
    <t>Nose</t>
    <phoneticPr fontId="5"/>
  </si>
  <si>
    <t>control_state</t>
    <phoneticPr fontId="5"/>
  </si>
  <si>
    <t>flash_control</t>
    <phoneticPr fontId="5"/>
  </si>
  <si>
    <t>A</t>
    <phoneticPr fontId="5"/>
  </si>
  <si>
    <t>B</t>
    <phoneticPr fontId="5"/>
  </si>
  <si>
    <t>C</t>
    <phoneticPr fontId="5"/>
  </si>
  <si>
    <t>LoggerEngine</t>
    <phoneticPr fontId="5"/>
  </si>
  <si>
    <t>D</t>
    <phoneticPr fontId="5"/>
  </si>
  <si>
    <t>E</t>
    <phoneticPr fontId="5"/>
  </si>
  <si>
    <t>Communication</t>
    <phoneticPr fontId="5"/>
  </si>
  <si>
    <t>ControlTelemetry</t>
    <phoneticPr fontId="5"/>
  </si>
  <si>
    <t>A</t>
    <phoneticPr fontId="5"/>
  </si>
  <si>
    <t>LoggerNose</t>
  </si>
  <si>
    <t>LoggerNose</t>
    <phoneticPr fontId="5"/>
  </si>
  <si>
    <t>GNSS</t>
    <phoneticPr fontId="5"/>
  </si>
  <si>
    <t>GPSBeacon</t>
    <phoneticPr fontId="5"/>
  </si>
  <si>
    <t>CCP_A_pressure_altitude_m</t>
    <phoneticPr fontId="5"/>
  </si>
  <si>
    <t>pressure</t>
    <phoneticPr fontId="5"/>
  </si>
  <si>
    <t>CCP_C_differential_pressure_Pa</t>
    <phoneticPr fontId="5"/>
  </si>
  <si>
    <t>CCP_C_airspeed_ms</t>
    <phoneticPr fontId="5"/>
  </si>
  <si>
    <t>accel</t>
    <phoneticPr fontId="5"/>
  </si>
  <si>
    <t>B(MPU9250)/C(ADXL375)</t>
    <phoneticPr fontId="5"/>
  </si>
  <si>
    <t>DataTelemetry</t>
    <phoneticPr fontId="5"/>
  </si>
  <si>
    <t>Light</t>
    <phoneticPr fontId="5"/>
  </si>
  <si>
    <t>Communication</t>
    <phoneticPr fontId="5"/>
  </si>
  <si>
    <t>Camera</t>
    <phoneticPr fontId="5"/>
  </si>
  <si>
    <t>Light</t>
    <phoneticPr fontId="5"/>
  </si>
  <si>
    <t>CCP_F_accel_mss</t>
    <phoneticPr fontId="5"/>
  </si>
  <si>
    <t>CCP_F_accel_G_cancel_mss</t>
    <phoneticPr fontId="5"/>
  </si>
  <si>
    <t>CCP_F_gyro_rads</t>
    <phoneticPr fontId="5"/>
  </si>
  <si>
    <t>CCP_F_mag_uT</t>
    <phoneticPr fontId="5"/>
  </si>
  <si>
    <t>CCP_F_euler_rad</t>
    <phoneticPr fontId="5"/>
  </si>
  <si>
    <t>LPS</t>
    <phoneticPr fontId="5"/>
  </si>
  <si>
    <t>BME</t>
    <phoneticPr fontId="5"/>
  </si>
  <si>
    <t>Analog</t>
    <phoneticPr fontId="5"/>
  </si>
  <si>
    <t>ublox</t>
    <phoneticPr fontId="5"/>
  </si>
  <si>
    <t>AE</t>
    <phoneticPr fontId="5"/>
  </si>
  <si>
    <t>CTRL</t>
    <phoneticPr fontId="5"/>
  </si>
  <si>
    <t>COM</t>
    <phoneticPr fontId="5"/>
  </si>
  <si>
    <t>DATA</t>
    <phoneticPr fontId="5"/>
  </si>
  <si>
    <t>uint16_t</t>
    <phoneticPr fontId="5"/>
  </si>
  <si>
    <t>CANフレーム数</t>
    <rPh sb="7" eb="8">
      <t>スウ</t>
    </rPh>
    <phoneticPr fontId="5"/>
  </si>
  <si>
    <t>fp16</t>
    <phoneticPr fontId="5"/>
  </si>
  <si>
    <t>CR123A電圧</t>
    <rPh sb="6" eb="8">
      <t>デンアツ</t>
    </rPh>
    <phoneticPr fontId="5"/>
  </si>
  <si>
    <t>NiMH電圧</t>
    <rPh sb="4" eb="6">
      <t>デンアツ</t>
    </rPh>
    <phoneticPr fontId="5"/>
  </si>
  <si>
    <t>uint32_t</t>
    <phoneticPr fontId="5"/>
  </si>
  <si>
    <t>ublox GPS緯度</t>
    <rPh sb="9" eb="11">
      <t>イド</t>
    </rPh>
    <phoneticPr fontId="5"/>
  </si>
  <si>
    <t>ublox GPS経度</t>
    <rPh sb="9" eb="11">
      <t>ケイド</t>
    </rPh>
    <phoneticPr fontId="5"/>
  </si>
  <si>
    <t>ノーズ GPS緯度</t>
    <rPh sb="7" eb="9">
      <t>イド</t>
    </rPh>
    <phoneticPr fontId="5"/>
  </si>
  <si>
    <t>ノーズ GPS経度</t>
    <rPh sb="7" eb="9">
      <t>ケイド</t>
    </rPh>
    <phoneticPr fontId="5"/>
  </si>
  <si>
    <t>高度1</t>
    <rPh sb="0" eb="2">
      <t>コウド</t>
    </rPh>
    <phoneticPr fontId="5"/>
  </si>
  <si>
    <t>加速度1</t>
    <rPh sb="0" eb="3">
      <t>カソクド</t>
    </rPh>
    <phoneticPr fontId="5"/>
  </si>
  <si>
    <t>加速度2</t>
    <rPh sb="0" eb="3">
      <t>カソクド</t>
    </rPh>
    <phoneticPr fontId="5"/>
  </si>
  <si>
    <t>高度2</t>
    <rPh sb="0" eb="2">
      <t>コウド</t>
    </rPh>
    <phoneticPr fontId="5"/>
  </si>
  <si>
    <t>使用禁止</t>
    <rPh sb="0" eb="4">
      <t>シヨウキンシ</t>
    </rPh>
    <phoneticPr fontId="5"/>
  </si>
  <si>
    <t>byte＼bit</t>
    <phoneticPr fontId="5"/>
  </si>
  <si>
    <t>高度(fp16)</t>
    <rPh sb="0" eb="2">
      <t>コウド</t>
    </rPh>
    <phoneticPr fontId="5"/>
  </si>
  <si>
    <t>加速度(fp16)</t>
    <rPh sb="0" eb="3">
      <t>カソクド</t>
    </rPh>
    <phoneticPr fontId="5"/>
  </si>
  <si>
    <t>CHECK</t>
    <phoneticPr fontId="5"/>
  </si>
  <si>
    <t>高度センサー源</t>
    <rPh sb="0" eb="2">
      <t>コウド</t>
    </rPh>
    <rPh sb="6" eb="7">
      <t>ゲン</t>
    </rPh>
    <phoneticPr fontId="5"/>
  </si>
  <si>
    <t>加速度センサー源</t>
    <rPh sb="0" eb="3">
      <t>カソクド</t>
    </rPh>
    <rPh sb="7" eb="8">
      <t>ゲン</t>
    </rPh>
    <phoneticPr fontId="5"/>
  </si>
  <si>
    <t>0:CLOSE</t>
    <phoneticPr fontId="5"/>
  </si>
  <si>
    <t>1:OPEN</t>
    <phoneticPr fontId="5"/>
  </si>
  <si>
    <t>0:禁止</t>
    <rPh sb="2" eb="4">
      <t>キンシ</t>
    </rPh>
    <phoneticPr fontId="5"/>
  </si>
  <si>
    <t>1:燃焼終了</t>
    <rPh sb="2" eb="4">
      <t>ネンショウ</t>
    </rPh>
    <rPh sb="4" eb="6">
      <t>シュウリョウ</t>
    </rPh>
    <phoneticPr fontId="5"/>
  </si>
  <si>
    <t>0:-</t>
    <phoneticPr fontId="5"/>
  </si>
  <si>
    <t>1:-</t>
    <phoneticPr fontId="5"/>
  </si>
  <si>
    <t>1:頂点到達</t>
    <rPh sb="2" eb="4">
      <t>チョウテン</t>
    </rPh>
    <rPh sb="4" eb="6">
      <t>トウタツ</t>
    </rPh>
    <phoneticPr fontId="5"/>
  </si>
  <si>
    <t>1:加速度</t>
    <rPh sb="2" eb="5">
      <t>カソクド</t>
    </rPh>
    <phoneticPr fontId="5"/>
  </si>
  <si>
    <t>0:気圧</t>
    <rPh sb="2" eb="4">
      <t>キアツ</t>
    </rPh>
    <phoneticPr fontId="5"/>
  </si>
  <si>
    <t>CANフレーム数管理</t>
    <rPh sb="7" eb="8">
      <t>スウ</t>
    </rPh>
    <rPh sb="8" eb="10">
      <t>カンリ</t>
    </rPh>
    <phoneticPr fontId="5"/>
  </si>
  <si>
    <t>送信フレーム数</t>
    <rPh sb="6" eb="7">
      <t>スウ</t>
    </rPh>
    <phoneticPr fontId="5"/>
  </si>
  <si>
    <t>CAN受信・単発送信のみ</t>
    <rPh sb="3" eb="5">
      <t>ジュシン</t>
    </rPh>
    <rPh sb="6" eb="8">
      <t>タンパツ</t>
    </rPh>
    <rPh sb="8" eb="10">
      <t>ソウシン</t>
    </rPh>
    <phoneticPr fontId="5"/>
  </si>
  <si>
    <t>CCP_voltage_drain_V</t>
    <phoneticPr fontId="5"/>
  </si>
  <si>
    <t>使用禁止</t>
    <rPh sb="0" eb="2">
      <t>シヨウ</t>
    </rPh>
    <rPh sb="2" eb="4">
      <t>キンシ</t>
    </rPh>
    <phoneticPr fontId="5"/>
  </si>
  <si>
    <t>使用禁止</t>
    <rPh sb="0" eb="4">
      <t>シヨウキンシ</t>
    </rPh>
    <phoneticPr fontId="5"/>
  </si>
  <si>
    <t>float</t>
    <phoneticPr fontId="5"/>
  </si>
  <si>
    <t>バイナリ</t>
    <phoneticPr fontId="5"/>
  </si>
  <si>
    <t>Control1</t>
    <phoneticPr fontId="5"/>
  </si>
  <si>
    <t>Control2</t>
    <phoneticPr fontId="5"/>
  </si>
  <si>
    <t>最悪ControlTelemetryが死んでも打ち上げ可能</t>
    <rPh sb="0" eb="2">
      <t>サイアク</t>
    </rPh>
    <rPh sb="19" eb="20">
      <t>シ</t>
    </rPh>
    <rPh sb="23" eb="24">
      <t>ウ</t>
    </rPh>
    <rPh sb="25" eb="26">
      <t>ア</t>
    </rPh>
    <rPh sb="27" eb="29">
      <t>カノウ</t>
    </rPh>
    <phoneticPr fontId="5"/>
  </si>
  <si>
    <t>FastLoggerProe</t>
  </si>
  <si>
    <t>FastLoggerCanvas</t>
  </si>
  <si>
    <t>0:FastLoggerCanvas</t>
  </si>
  <si>
    <t>1:Sensor</t>
  </si>
  <si>
    <t>ピトー管差圧(アナログ電圧値)[V]</t>
    <rPh sb="11" eb="13">
      <t>デンアツ</t>
    </rPh>
    <rPh sb="13" eb="14">
      <t>チ</t>
    </rPh>
    <phoneticPr fontId="5"/>
  </si>
  <si>
    <t>CCP_C_differential_pressure_raw_V</t>
    <phoneticPr fontId="5"/>
  </si>
  <si>
    <t>Nose</t>
    <phoneticPr fontId="5"/>
  </si>
  <si>
    <t>DATA</t>
    <phoneticPr fontId="5"/>
  </si>
  <si>
    <t>CCP_current_actuator_mA</t>
    <phoneticPr fontId="5"/>
  </si>
  <si>
    <t>Opener</t>
    <phoneticPr fontId="5"/>
  </si>
  <si>
    <t>タイマー秒数</t>
    <phoneticPr fontId="5"/>
  </si>
  <si>
    <t>サーボ電流</t>
    <rPh sb="3" eb="5">
      <t>デンリュウ</t>
    </rPh>
    <phoneticPr fontId="5"/>
  </si>
  <si>
    <t>ピトー管電圧</t>
    <rPh sb="3" eb="4">
      <t>カン</t>
    </rPh>
    <rPh sb="4" eb="6">
      <t>デンアツ</t>
    </rPh>
    <phoneticPr fontId="5"/>
  </si>
  <si>
    <t>高精度加速度</t>
  </si>
  <si>
    <t>Light</t>
    <phoneticPr fontId="5"/>
  </si>
  <si>
    <t>CCP_F_precise_accel_x_mss</t>
    <phoneticPr fontId="5"/>
  </si>
  <si>
    <t>CCP_F_precise_accel_y_mss</t>
    <phoneticPr fontId="5"/>
  </si>
  <si>
    <t>CCP_F_precise_accel_z_mss</t>
    <phoneticPr fontId="5"/>
  </si>
  <si>
    <t>CCP_F_precise_accel_mss</t>
    <phoneticPr fontId="5"/>
  </si>
  <si>
    <t>E(BNO)</t>
    <phoneticPr fontId="5"/>
  </si>
  <si>
    <t>A(MPU)</t>
    <phoneticPr fontId="5"/>
  </si>
  <si>
    <t>D(sense)</t>
    <phoneticPr fontId="5"/>
  </si>
  <si>
    <t>F(ADXL357)</t>
    <phoneticPr fontId="5"/>
  </si>
  <si>
    <t>(BEGIN,KILL)</t>
    <phoneticPr fontId="5"/>
  </si>
  <si>
    <t>A(BME)</t>
    <phoneticPr fontId="5"/>
  </si>
  <si>
    <t>B(BMP)</t>
    <phoneticPr fontId="5"/>
  </si>
  <si>
    <t>C(BMP)</t>
    <phoneticPr fontId="5"/>
  </si>
  <si>
    <t>D(BMP)</t>
    <phoneticPr fontId="5"/>
  </si>
  <si>
    <t>E(LPS)</t>
    <phoneticPr fontId="5"/>
  </si>
  <si>
    <t>GPS4</t>
    <phoneticPr fontId="5"/>
  </si>
  <si>
    <t>nennsyouatu</t>
    <phoneticPr fontId="5"/>
  </si>
  <si>
    <t>denngenn</t>
    <phoneticPr fontId="5"/>
  </si>
  <si>
    <t>GPS</t>
    <phoneticPr fontId="5"/>
  </si>
  <si>
    <t>ok</t>
    <phoneticPr fontId="5"/>
  </si>
  <si>
    <t>gpsおそい-50</t>
    <phoneticPr fontId="5"/>
  </si>
  <si>
    <t>C</t>
    <phoneticPr fontId="5"/>
  </si>
  <si>
    <t>メイン電装のみ</t>
    <rPh sb="3" eb="5">
      <t>デンソウ</t>
    </rPh>
    <phoneticPr fontId="5"/>
  </si>
  <si>
    <t>文字列</t>
    <rPh sb="0" eb="3">
      <t>モジレツ</t>
    </rPh>
    <phoneticPr fontId="5"/>
  </si>
  <si>
    <t>単発ダウンリンク</t>
    <rPh sb="0" eb="2">
      <t>タンパツ</t>
    </rPh>
    <phoneticPr fontId="5"/>
  </si>
  <si>
    <t>CANに信号がないとき</t>
    <rPh sb="4" eb="6">
      <t>シンゴウ</t>
    </rPh>
    <phoneticPr fontId="5"/>
  </si>
  <si>
    <t>-</t>
    <phoneticPr fontId="5"/>
  </si>
  <si>
    <t xml:space="preserve"> </t>
    <phoneticPr fontId="5"/>
  </si>
  <si>
    <t>CCP_A_accel_G_cancel_mss</t>
    <phoneticPr fontId="5"/>
  </si>
  <si>
    <t>水密外水密続後</t>
    <rPh sb="0" eb="2">
      <t>スイミツ</t>
    </rPh>
    <rPh sb="2" eb="3">
      <t>ガイ</t>
    </rPh>
    <rPh sb="3" eb="5">
      <t>スイミツ</t>
    </rPh>
    <rPh sb="5" eb="6">
      <t>ゾク</t>
    </rPh>
    <rPh sb="6" eb="7">
      <t>ゴ</t>
    </rPh>
    <phoneticPr fontId="5"/>
  </si>
  <si>
    <t>維持</t>
    <rPh sb="0" eb="2">
      <t>イジ</t>
    </rPh>
    <phoneticPr fontId="5"/>
  </si>
  <si>
    <t>温度</t>
    <rPh sb="0" eb="2">
      <t>オンド</t>
    </rPh>
    <phoneticPr fontId="5"/>
  </si>
  <si>
    <t>BNO055</t>
    <phoneticPr fontId="5"/>
  </si>
  <si>
    <t>サーボ用電源電圧</t>
    <rPh sb="3" eb="4">
      <t>ヨウ</t>
    </rPh>
    <phoneticPr fontId="5"/>
  </si>
  <si>
    <t>バルブ用電源電圧1</t>
    <rPh sb="3" eb="4">
      <t>ヨウ</t>
    </rPh>
    <phoneticPr fontId="5"/>
  </si>
  <si>
    <t>メイン用電源電圧</t>
    <rPh sb="3" eb="4">
      <t>ヨウ</t>
    </rPh>
    <rPh sb="4" eb="6">
      <t>デンゲン</t>
    </rPh>
    <rPh sb="6" eb="8">
      <t>デンアツ</t>
    </rPh>
    <phoneticPr fontId="5"/>
  </si>
  <si>
    <t>RTC時刻</t>
    <rPh sb="3" eb="5">
      <t>ジコク</t>
    </rPh>
    <phoneticPr fontId="5"/>
  </si>
  <si>
    <t>バルブ用電源電圧2</t>
    <rPh sb="3" eb="4">
      <t>ヨウ</t>
    </rPh>
    <phoneticPr fontId="5"/>
  </si>
  <si>
    <t>main(ES)</t>
    <phoneticPr fontId="5"/>
  </si>
  <si>
    <t>main(sensor)</t>
  </si>
  <si>
    <t>main(sensor)</t>
    <phoneticPr fontId="5"/>
  </si>
  <si>
    <t>main(GNSS)</t>
  </si>
  <si>
    <t>main(GNSS)</t>
    <phoneticPr fontId="5"/>
  </si>
  <si>
    <t>valve</t>
    <phoneticPr fontId="5"/>
  </si>
  <si>
    <t>Loger(main)</t>
  </si>
  <si>
    <t>Loger(main)</t>
    <phoneticPr fontId="5"/>
  </si>
  <si>
    <t>Loger(engine)</t>
    <phoneticPr fontId="5"/>
  </si>
  <si>
    <t>DownLink</t>
    <phoneticPr fontId="5"/>
  </si>
  <si>
    <t>CCP_dateandtime</t>
    <phoneticPr fontId="5"/>
  </si>
  <si>
    <t>CCP_open_time_response_s</t>
    <phoneticPr fontId="5"/>
  </si>
  <si>
    <t>離床したと推定される時刻，離床判定された時刻から判定にかかる時間を引いた値</t>
    <rPh sb="5" eb="7">
      <t>スイテイ</t>
    </rPh>
    <rPh sb="13" eb="15">
      <t>リショウ</t>
    </rPh>
    <rPh sb="15" eb="17">
      <t>ハンテイ</t>
    </rPh>
    <rPh sb="20" eb="22">
      <t>ジコク</t>
    </rPh>
    <rPh sb="24" eb="26">
      <t>ハンテイ</t>
    </rPh>
    <rPh sb="30" eb="32">
      <t>ジカン</t>
    </rPh>
    <rPh sb="33" eb="34">
      <t>ヒ</t>
    </rPh>
    <rPh sb="36" eb="37">
      <t>アタイ</t>
    </rPh>
    <phoneticPr fontId="5"/>
  </si>
  <si>
    <t>開放判定を行った時刻</t>
    <rPh sb="0" eb="2">
      <t>カイホウ</t>
    </rPh>
    <rPh sb="2" eb="4">
      <t>ハンテイ</t>
    </rPh>
    <rPh sb="5" eb="6">
      <t>オコナ</t>
    </rPh>
    <rPh sb="8" eb="10">
      <t>ジコク</t>
    </rPh>
    <phoneticPr fontId="5"/>
  </si>
  <si>
    <t>CCP_open_time_command_s</t>
    <phoneticPr fontId="5"/>
  </si>
  <si>
    <t>0x00~</t>
    <phoneticPr fontId="5"/>
  </si>
  <si>
    <t>0x40~</t>
    <phoneticPr fontId="5"/>
  </si>
  <si>
    <t>0x80~</t>
    <phoneticPr fontId="5"/>
  </si>
  <si>
    <t>0xC0~</t>
    <phoneticPr fontId="5"/>
  </si>
  <si>
    <t>燃焼終了までの時間[s]</t>
    <rPh sb="0" eb="2">
      <t>ネンショウ</t>
    </rPh>
    <rPh sb="2" eb="4">
      <t>シュウリョウ</t>
    </rPh>
    <rPh sb="7" eb="9">
      <t>ジカン</t>
    </rPh>
    <phoneticPr fontId="5"/>
  </si>
  <si>
    <t>CCP_meco_time_s</t>
    <phoneticPr fontId="5"/>
  </si>
  <si>
    <t>(CHECK,D-STA,D-STO,VALVE)</t>
    <phoneticPr fontId="5"/>
  </si>
  <si>
    <t>(CHECK,STBY,VALVE,TDRAIN,EDRAIN)</t>
    <phoneticPr fontId="5"/>
  </si>
  <si>
    <t>(------,---DRA,VAL---,VALDRA)</t>
    <phoneticPr fontId="5"/>
  </si>
  <si>
    <t>減速機構状態報告(------,ACCSEN,ALTSEN)</t>
    <phoneticPr fontId="5"/>
  </si>
  <si>
    <t>(OK-CLR, NOTCLR, ACTIVE, SLEEP, CLRING,ERR)</t>
    <phoneticPr fontId="5"/>
  </si>
  <si>
    <t>Logger(engine)</t>
    <phoneticPr fontId="5"/>
  </si>
  <si>
    <t>Logger(main)</t>
    <phoneticPr fontId="5"/>
  </si>
  <si>
    <t>OPENED</t>
    <phoneticPr fontId="5"/>
  </si>
  <si>
    <t>CCP (CORE CAN Protocol)</t>
  </si>
  <si>
    <t>1Mbpsで合計4000Hzが限度</t>
  </si>
  <si>
    <t>値が小さいほど優先</t>
  </si>
  <si>
    <t>備考</t>
  </si>
  <si>
    <t>ダウンリンク</t>
  </si>
  <si>
    <t>減速機構開放禁止命令(NOTOPEN)</t>
    <phoneticPr fontId="5"/>
  </si>
  <si>
    <t>減速機構状態報告(BME,BM,MPUSEN,MPULOG )</t>
    <phoneticPr fontId="5"/>
  </si>
  <si>
    <t>減速機構判定報告(OPENED)</t>
    <phoneticPr fontId="5"/>
  </si>
  <si>
    <t>Loger</t>
    <phoneticPr fontId="5"/>
  </si>
  <si>
    <t>CameraLoger</t>
    <phoneticPr fontId="5"/>
  </si>
  <si>
    <t>main(ES)</t>
  </si>
  <si>
    <t>CCP_open_time_repeat_s</t>
  </si>
  <si>
    <t>CCP_GNSS_latitude_udeg</t>
    <phoneticPr fontId="5"/>
  </si>
  <si>
    <t>ublox</t>
  </si>
  <si>
    <t>CCP_GNSS_longitude_udeg</t>
    <phoneticPr fontId="5"/>
  </si>
  <si>
    <t>CCP_GNSS_altitude_mm</t>
    <phoneticPr fontId="5"/>
  </si>
  <si>
    <t>CCP_GNSS_time_ms</t>
    <phoneticPr fontId="5"/>
  </si>
  <si>
    <t>CCP_difpressure_hPa</t>
    <phoneticPr fontId="5"/>
  </si>
  <si>
    <t>差圧センサ(hPa)</t>
    <rPh sb="0" eb="2">
      <t>サアツ</t>
    </rPh>
    <phoneticPr fontId="5"/>
  </si>
  <si>
    <t>MPX5010DP</t>
    <phoneticPr fontId="5"/>
  </si>
  <si>
    <t>nose(sesor)</t>
    <phoneticPr fontId="5"/>
  </si>
  <si>
    <t>CCP_difpressure_voltage_V</t>
    <phoneticPr fontId="5"/>
  </si>
  <si>
    <t>差圧センサの生電圧値</t>
    <rPh sb="0" eb="2">
      <t>サアツ</t>
    </rPh>
    <rPh sb="6" eb="9">
      <t>ナマデンアツ</t>
    </rPh>
    <rPh sb="9" eb="10">
      <t>チ</t>
    </rPh>
    <phoneticPr fontId="5"/>
  </si>
  <si>
    <t>CCP_accel_mss</t>
    <phoneticPr fontId="5"/>
  </si>
  <si>
    <t>BNO055</t>
  </si>
  <si>
    <t>CCP_gyro_rads</t>
    <phoneticPr fontId="5"/>
  </si>
  <si>
    <t>CCP_mag_uT</t>
    <phoneticPr fontId="5"/>
  </si>
  <si>
    <t>CCP_euler_rad</t>
    <phoneticPr fontId="5"/>
  </si>
  <si>
    <t>CCP_pressure_altitude_m</t>
    <phoneticPr fontId="5"/>
  </si>
  <si>
    <t>BME</t>
  </si>
  <si>
    <t>CCP_pressure_hPa</t>
    <phoneticPr fontId="5"/>
  </si>
  <si>
    <t>CCP_temperature_C</t>
    <phoneticPr fontId="5"/>
  </si>
  <si>
    <t>ノーズ</t>
    <phoneticPr fontId="5"/>
  </si>
  <si>
    <t>CCP_nose_temperature</t>
    <phoneticPr fontId="5"/>
  </si>
  <si>
    <t>CCP_nose_barometic_pressure</t>
    <phoneticPr fontId="5"/>
  </si>
  <si>
    <t>CCP_nose_adc</t>
    <phoneticPr fontId="5"/>
  </si>
  <si>
    <t>CCP_nose_status</t>
  </si>
  <si>
    <t>CCP_surface_pressure1_status</t>
    <phoneticPr fontId="5"/>
  </si>
  <si>
    <t>CCP_surface_pressure2_status</t>
  </si>
  <si>
    <t>CCP_surface_pressure3_status</t>
  </si>
  <si>
    <t>CCP_surface_pressure4_status</t>
  </si>
  <si>
    <t>CCP_surface_pressure5_status</t>
  </si>
  <si>
    <t>CCP_surface_pressure6_status</t>
  </si>
  <si>
    <t>OK,NODATA</t>
    <phoneticPr fontId="5"/>
  </si>
  <si>
    <t>CCP_nose_voltage</t>
    <phoneticPr fontId="5"/>
  </si>
  <si>
    <t>CCP_surface_pressure1_pressure_pa</t>
    <phoneticPr fontId="5"/>
  </si>
  <si>
    <t>CCP_surface_pressure2_pressure_pa</t>
  </si>
  <si>
    <t>CCP_surface_pressure3_pressure_pa</t>
  </si>
  <si>
    <t>CCP_surface_pressure4_pressure_pa</t>
  </si>
  <si>
    <t>CCP_surface_pressure5_pressure_pa</t>
  </si>
  <si>
    <t>CCP_surface_pressure6_pressure_pa</t>
  </si>
  <si>
    <t>LoRaプロトコル</t>
    <phoneticPr fontId="5"/>
  </si>
  <si>
    <t>MCUTIME[1]</t>
  </si>
  <si>
    <t>MCUTIME[2]</t>
  </si>
  <si>
    <t>MCUTIME[0]</t>
    <phoneticPr fontId="5"/>
  </si>
  <si>
    <t>MCUTIME[3]</t>
  </si>
  <si>
    <t>status</t>
    <phoneticPr fontId="5"/>
  </si>
  <si>
    <t>nose_adc[0]</t>
    <phoneticPr fontId="5"/>
  </si>
  <si>
    <t>nose_adc[1]</t>
  </si>
  <si>
    <t>nose_adc[2]</t>
  </si>
  <si>
    <t>nose_adc[3]</t>
  </si>
  <si>
    <t>nose_adc[4]</t>
  </si>
  <si>
    <t>nose_adc[5]</t>
  </si>
  <si>
    <t>nose_temper[0]</t>
    <phoneticPr fontId="5"/>
  </si>
  <si>
    <t>nose_temper[1]</t>
  </si>
  <si>
    <t>nose_temper[2]</t>
  </si>
  <si>
    <t>nose_temper[3]</t>
  </si>
  <si>
    <t>nose_baro_pre[0]</t>
    <phoneticPr fontId="5"/>
  </si>
  <si>
    <t>nose_baro_pre[1]</t>
  </si>
  <si>
    <t>nose_baro_pre[2]</t>
  </si>
  <si>
    <t>nose_baro_pre[3]</t>
  </si>
  <si>
    <t>surface1[0]</t>
    <phoneticPr fontId="5"/>
  </si>
  <si>
    <t>surface1[1]</t>
  </si>
  <si>
    <t>surface1[2]</t>
  </si>
  <si>
    <t>surface1[3]</t>
  </si>
  <si>
    <t>surface2[0]</t>
    <phoneticPr fontId="5"/>
  </si>
  <si>
    <t>surface2[3]</t>
  </si>
  <si>
    <t>surface2[1]</t>
    <phoneticPr fontId="5"/>
  </si>
  <si>
    <t>surface2[2]</t>
    <phoneticPr fontId="5"/>
  </si>
  <si>
    <t>surface3[0]</t>
    <phoneticPr fontId="5"/>
  </si>
  <si>
    <t>surface3[1]</t>
  </si>
  <si>
    <t>surface3[2]</t>
  </si>
  <si>
    <t>surface3[3]</t>
  </si>
  <si>
    <t>surface4[3]</t>
  </si>
  <si>
    <t>surface4[0]</t>
    <phoneticPr fontId="5"/>
  </si>
  <si>
    <t>surface4[1]</t>
  </si>
  <si>
    <t>surface4[2]</t>
  </si>
  <si>
    <t>surface5[0]</t>
    <phoneticPr fontId="5"/>
  </si>
  <si>
    <t>surface5[1]</t>
  </si>
  <si>
    <t>surface5[2]</t>
  </si>
  <si>
    <t>surface5[3]</t>
  </si>
  <si>
    <t>surface6[0]</t>
    <phoneticPr fontId="5"/>
  </si>
  <si>
    <t>surface6[1]</t>
  </si>
  <si>
    <t>surface6[2]</t>
  </si>
  <si>
    <t>surface6[3]</t>
  </si>
  <si>
    <t>nose_voltage[0]</t>
    <phoneticPr fontId="5"/>
  </si>
  <si>
    <t>nose_voltage[1]</t>
  </si>
  <si>
    <t>nose_voltage[2]</t>
  </si>
  <si>
    <t>nose_voltage[3]</t>
  </si>
  <si>
    <t>CCP_C_flash_control</t>
    <phoneticPr fontId="5"/>
  </si>
  <si>
    <t>CCP_C_flash_state</t>
    <phoneticPr fontId="5"/>
  </si>
  <si>
    <t>mainLoger</t>
    <phoneticPr fontId="5"/>
  </si>
  <si>
    <t>記録部</t>
    <rPh sb="0" eb="2">
      <t>キロク</t>
    </rPh>
    <rPh sb="2" eb="3">
      <t>ブ</t>
    </rPh>
    <phoneticPr fontId="5"/>
  </si>
  <si>
    <t>NoseLoger</t>
    <phoneticPr fontId="5"/>
  </si>
  <si>
    <t>ノーズ部</t>
    <rPh sb="3" eb="4">
      <t>ブ</t>
    </rPh>
    <phoneticPr fontId="5"/>
  </si>
  <si>
    <t>メイン電装</t>
    <rPh sb="3" eb="5">
      <t>デンソウ</t>
    </rPh>
    <phoneticPr fontId="5"/>
  </si>
  <si>
    <t>main</t>
    <phoneticPr fontId="5"/>
  </si>
  <si>
    <t>wireless</t>
    <phoneticPr fontId="5"/>
  </si>
  <si>
    <t>(CHECK,READY)</t>
    <phoneticPr fontId="5"/>
  </si>
  <si>
    <t>結果</t>
    <rPh sb="0" eb="2">
      <t>ケッカ</t>
    </rPh>
    <phoneticPr fontId="5"/>
  </si>
  <si>
    <t>単発</t>
    <phoneticPr fontId="5"/>
  </si>
  <si>
    <t>CCP_sensor_control</t>
    <phoneticPr fontId="5"/>
  </si>
  <si>
    <t>(SEN1,SEN2)</t>
    <phoneticPr fontId="5"/>
  </si>
  <si>
    <t>メイン部のセンサの切り替え</t>
    <rPh sb="3" eb="4">
      <t>ブ</t>
    </rPh>
    <rPh sb="9" eb="10">
      <t>キ</t>
    </rPh>
    <rPh sb="11" eb="12">
      <t>カ</t>
    </rPh>
    <phoneticPr fontId="5"/>
  </si>
  <si>
    <t>GNSS_main</t>
    <phoneticPr fontId="5"/>
  </si>
  <si>
    <t>GNSS_nose</t>
    <phoneticPr fontId="5"/>
  </si>
  <si>
    <t>BME280</t>
    <phoneticPr fontId="5"/>
  </si>
  <si>
    <t>BME680</t>
    <phoneticPr fontId="5"/>
  </si>
  <si>
    <t>CCP_A_GNSS_latitude_udeg</t>
    <phoneticPr fontId="5"/>
  </si>
  <si>
    <t>CCP_A_GNSS_longitude_udeg</t>
  </si>
  <si>
    <t>CCP_A_GNSS_altitude_mm</t>
  </si>
  <si>
    <t>CCP_A_GNSS_time_ms</t>
  </si>
  <si>
    <t>CCP_B_GNSS_latitude_udeg</t>
  </si>
  <si>
    <t>CCP_B_GNSS_longitude_udeg</t>
  </si>
  <si>
    <t>CCP_B_GNSS_altitude_mm</t>
  </si>
  <si>
    <t>CCP_B_GNSS_time_ms</t>
  </si>
  <si>
    <t>CCP_A_pressure_hPa</t>
    <phoneticPr fontId="5"/>
  </si>
  <si>
    <t>CCP_A_temperature_C</t>
    <phoneticPr fontId="5"/>
  </si>
  <si>
    <t>CCP_B_pressure_hPa</t>
    <phoneticPr fontId="5"/>
  </si>
  <si>
    <t>CCP_B_temperature_C</t>
    <phoneticPr fontId="5"/>
  </si>
  <si>
    <t>減速機構開放禁止命令(NOTOPEN,CLEAR)</t>
    <phoneticPr fontId="5"/>
  </si>
  <si>
    <t>CCP_B_flash_state</t>
    <phoneticPr fontId="5"/>
  </si>
  <si>
    <t>CCP_key_state</t>
    <phoneticPr fontId="5"/>
  </si>
  <si>
    <t>キースイッチの状態(OPENED)</t>
    <rPh sb="7" eb="9">
      <t>ジョウタイ</t>
    </rPh>
    <phoneticPr fontId="5"/>
  </si>
  <si>
    <t>CCP_A_humidity_percent</t>
    <phoneticPr fontId="5"/>
  </si>
  <si>
    <t>CCP_A_altitude_m</t>
    <phoneticPr fontId="5"/>
  </si>
  <si>
    <t>高度[m]</t>
    <rPh sb="0" eb="2">
      <t>コウド</t>
    </rPh>
    <phoneticPr fontId="5"/>
  </si>
  <si>
    <t>CCP_nose_pressure_hPa</t>
    <phoneticPr fontId="5"/>
  </si>
  <si>
    <t>CCP_nose_temperature_C</t>
    <phoneticPr fontId="5"/>
  </si>
  <si>
    <t>CCP_nose_humidity_percent</t>
    <phoneticPr fontId="5"/>
  </si>
  <si>
    <t>CCP_nose_altitude_m</t>
    <phoneticPr fontId="5"/>
  </si>
  <si>
    <t>CCP_nose_gas_Kohms</t>
    <phoneticPr fontId="5"/>
  </si>
  <si>
    <t>CCP_nose_outputkPa</t>
    <phoneticPr fontId="5"/>
  </si>
  <si>
    <t>CCP_nose_outputmmH2O</t>
    <phoneticPr fontId="5"/>
  </si>
  <si>
    <t>CCP_B_altitude_m</t>
    <phoneticPr fontId="5"/>
  </si>
  <si>
    <t>CCP_B_humidity_percent</t>
    <phoneticPr fontId="5"/>
  </si>
  <si>
    <r>
      <rPr>
        <sz val="10"/>
        <color rgb="FF000000"/>
        <rFont val="游ゴシック"/>
        <family val="3"/>
        <charset val="128"/>
      </rPr>
      <t>気圧</t>
    </r>
    <r>
      <rPr>
        <sz val="10"/>
        <color rgb="FF000000"/>
        <rFont val="Arial"/>
        <family val="3"/>
      </rPr>
      <t>[hPa]</t>
    </r>
    <phoneticPr fontId="5"/>
  </si>
  <si>
    <r>
      <t>気温[</t>
    </r>
    <r>
      <rPr>
        <sz val="10"/>
        <color rgb="FF000000"/>
        <rFont val="Segoe UI Symbol"/>
        <family val="2"/>
      </rPr>
      <t>℃</t>
    </r>
    <r>
      <rPr>
        <sz val="10"/>
        <color rgb="FF000000"/>
        <rFont val="Arial"/>
        <scheme val="minor"/>
      </rPr>
      <t>]</t>
    </r>
    <phoneticPr fontId="5"/>
  </si>
  <si>
    <r>
      <rPr>
        <sz val="10"/>
        <color rgb="FF000000"/>
        <rFont val="Microsoft JhengHei"/>
        <family val="2"/>
        <charset val="136"/>
      </rPr>
      <t>湿度</t>
    </r>
    <r>
      <rPr>
        <sz val="10"/>
        <color rgb="FF000000"/>
        <rFont val="Arial"/>
        <family val="2"/>
        <scheme val="minor"/>
      </rPr>
      <t>[%]</t>
    </r>
    <rPh sb="0" eb="2">
      <t>シツド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</si>
</sst>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color rgb="FF000000"/>
      <name val="Arial"/>
      <scheme val="minor"/>
    </font>
    <font>
      <sz val="10"/>
      <color theme="1"/>
      <name val="Roboto Mono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Inconsolata"/>
      <family val="3"/>
    </font>
    <font>
      <sz val="6"/>
      <name val="Arial"/>
      <family val="3"/>
      <charset val="128"/>
      <scheme val="minor"/>
    </font>
    <font>
      <sz val="10"/>
      <color theme="1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BIZ UDゴシック"/>
      <family val="3"/>
      <charset val="128"/>
    </font>
    <font>
      <sz val="10"/>
      <color rgb="FF000000"/>
      <name val="BIZ UDゴシック"/>
      <family val="3"/>
      <charset val="128"/>
    </font>
    <font>
      <sz val="11"/>
      <color rgb="FF000000"/>
      <name val="BIZ UDゴシック"/>
      <family val="3"/>
      <charset val="128"/>
    </font>
    <font>
      <sz val="10"/>
      <color theme="0" tint="-0.14999847407452621"/>
      <name val="BIZ UD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Arial"/>
      <family val="2"/>
      <scheme val="minor"/>
    </font>
    <font>
      <b/>
      <sz val="10"/>
      <color rgb="FF4E5B61"/>
      <name val="BIZ UDゴシック"/>
      <family val="3"/>
      <charset val="128"/>
    </font>
    <font>
      <sz val="10"/>
      <color rgb="FF000000"/>
      <name val="游ゴシック"/>
      <family val="3"/>
      <charset val="128"/>
    </font>
    <font>
      <sz val="10"/>
      <color rgb="FF000000"/>
      <name val="Arial"/>
      <family val="3"/>
    </font>
    <font>
      <sz val="10"/>
      <color rgb="FF000000"/>
      <name val="Arial"/>
      <family val="3"/>
      <charset val="128"/>
    </font>
    <font>
      <sz val="10"/>
      <color rgb="FF000000"/>
      <name val="Segoe UI Symbol"/>
      <family val="2"/>
    </font>
    <font>
      <sz val="10"/>
      <color rgb="FF000000"/>
      <name val="Arial"/>
      <family val="2"/>
      <charset val="136"/>
      <scheme val="minor"/>
    </font>
    <font>
      <sz val="10"/>
      <color rgb="FF000000"/>
      <name val="Microsoft JhengHe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9" fillId="2" borderId="0" xfId="0" applyFont="1" applyFill="1"/>
    <xf numFmtId="0" fontId="9" fillId="0" borderId="0" xfId="0" applyFont="1" applyAlignment="1">
      <alignment horizontal="right"/>
    </xf>
    <xf numFmtId="0" fontId="8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11" fillId="0" borderId="0" xfId="0" applyFont="1"/>
    <xf numFmtId="0" fontId="8" fillId="3" borderId="0" xfId="0" applyFont="1" applyFill="1" applyAlignment="1">
      <alignment horizontal="left"/>
    </xf>
    <xf numFmtId="0" fontId="8" fillId="3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0" fontId="6" fillId="4" borderId="1" xfId="0" applyFont="1" applyFill="1" applyBorder="1"/>
    <xf numFmtId="0" fontId="8" fillId="5" borderId="0" xfId="0" applyFont="1" applyFill="1" applyAlignment="1">
      <alignment horizontal="left"/>
    </xf>
    <xf numFmtId="0" fontId="8" fillId="5" borderId="0" xfId="0" applyFont="1" applyFill="1"/>
    <xf numFmtId="0" fontId="12" fillId="0" borderId="0" xfId="0" applyFont="1"/>
    <xf numFmtId="0" fontId="13" fillId="0" borderId="0" xfId="0" applyFont="1"/>
    <xf numFmtId="0" fontId="9" fillId="2" borderId="0" xfId="0" applyFont="1" applyFill="1" applyAlignment="1">
      <alignment vertical="center"/>
    </xf>
    <xf numFmtId="0" fontId="0" fillId="0" borderId="10" xfId="0" applyBorder="1"/>
    <xf numFmtId="0" fontId="13" fillId="0" borderId="5" xfId="0" applyFont="1" applyBorder="1"/>
    <xf numFmtId="0" fontId="0" fillId="0" borderId="5" xfId="0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14" fillId="0" borderId="0" xfId="0" applyFont="1" applyAlignment="1">
      <alignment vertical="center"/>
    </xf>
    <xf numFmtId="0" fontId="8" fillId="6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0" fontId="2" fillId="0" borderId="0" xfId="0" applyFont="1" applyAlignment="1">
      <alignment horizontal="center"/>
    </xf>
    <xf numFmtId="0" fontId="0" fillId="0" borderId="0" xfId="0"/>
    <xf numFmtId="0" fontId="17" fillId="0" borderId="0" xfId="0" applyFont="1"/>
    <xf numFmtId="0" fontId="19" fillId="0" borderId="0" xfId="0" applyFont="1"/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88F7AD0E-DB21-44AB-80E0-FC0610E542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403E-470F-4BDA-B6AB-980F7CF5CEC4}">
  <dimension ref="A1:J259"/>
  <sheetViews>
    <sheetView tabSelected="1" topLeftCell="D159" zoomScale="97" zoomScaleNormal="70" workbookViewId="0">
      <selection activeCell="F165" sqref="F165"/>
    </sheetView>
  </sheetViews>
  <sheetFormatPr defaultRowHeight="12.5" x14ac:dyDescent="0.25"/>
  <cols>
    <col min="5" max="5" width="25.08984375" bestFit="1" customWidth="1"/>
    <col min="6" max="6" width="40.81640625" bestFit="1" customWidth="1"/>
    <col min="7" max="7" width="26.08984375" bestFit="1" customWidth="1"/>
    <col min="8" max="8" width="30" bestFit="1" customWidth="1"/>
    <col min="9" max="9" width="12.36328125" bestFit="1" customWidth="1"/>
  </cols>
  <sheetData>
    <row r="1" spans="1:10" ht="15" customHeight="1" x14ac:dyDescent="0.25">
      <c r="A1" s="6" t="s">
        <v>427</v>
      </c>
      <c r="B1" s="7"/>
      <c r="C1" s="6"/>
      <c r="D1" s="8"/>
      <c r="E1" s="8"/>
      <c r="F1" s="8"/>
      <c r="G1" s="8"/>
      <c r="H1" s="6"/>
      <c r="I1" s="8"/>
      <c r="J1" s="8"/>
    </row>
    <row r="2" spans="1:10" ht="15" customHeight="1" x14ac:dyDescent="0.25">
      <c r="A2" s="7"/>
      <c r="B2" s="7"/>
      <c r="C2" s="7"/>
      <c r="D2" s="8"/>
      <c r="E2" s="8"/>
      <c r="F2" s="8"/>
      <c r="G2" s="8"/>
      <c r="H2" s="6" t="s">
        <v>428</v>
      </c>
      <c r="I2" s="8"/>
      <c r="J2" s="8"/>
    </row>
    <row r="3" spans="1:10" ht="15" customHeight="1" x14ac:dyDescent="0.25">
      <c r="A3" s="6" t="s">
        <v>429</v>
      </c>
      <c r="B3" s="7"/>
      <c r="C3" s="7"/>
      <c r="D3" s="8"/>
      <c r="E3" s="8"/>
      <c r="F3" s="8"/>
      <c r="G3" s="8"/>
      <c r="H3" s="6" t="s">
        <v>0</v>
      </c>
      <c r="I3" s="8"/>
      <c r="J3" s="8"/>
    </row>
    <row r="4" spans="1:10" ht="15" customHeight="1" x14ac:dyDescent="0.25">
      <c r="A4" s="25" t="s">
        <v>1</v>
      </c>
      <c r="B4" s="25" t="s">
        <v>2</v>
      </c>
      <c r="C4" s="25" t="s">
        <v>3</v>
      </c>
      <c r="D4" s="26" t="s">
        <v>4</v>
      </c>
      <c r="E4" s="26" t="s">
        <v>5</v>
      </c>
      <c r="F4" s="26" t="s">
        <v>6</v>
      </c>
      <c r="G4" s="26" t="s">
        <v>430</v>
      </c>
      <c r="H4" s="25" t="s">
        <v>7</v>
      </c>
      <c r="I4" s="26" t="s">
        <v>8</v>
      </c>
      <c r="J4" s="26" t="s">
        <v>431</v>
      </c>
    </row>
    <row r="5" spans="1:10" ht="15" customHeight="1" x14ac:dyDescent="0.25">
      <c r="A5">
        <v>1</v>
      </c>
      <c r="B5" t="str">
        <f>DEC2BIN(A5)</f>
        <v>1</v>
      </c>
      <c r="C5" t="str">
        <f>DEC2HEX(HEX2DEC("0001")+ROW(A1)-1,4)</f>
        <v>0001</v>
      </c>
      <c r="D5" s="27" t="s">
        <v>383</v>
      </c>
      <c r="E5" s="8" t="s">
        <v>24</v>
      </c>
      <c r="F5" s="8" t="s">
        <v>557</v>
      </c>
      <c r="G5" s="8"/>
      <c r="H5" s="7" t="s">
        <v>26</v>
      </c>
      <c r="I5" s="8" t="s">
        <v>534</v>
      </c>
    </row>
    <row r="6" spans="1:10" ht="15" customHeight="1" x14ac:dyDescent="0.25">
      <c r="A6">
        <v>2</v>
      </c>
      <c r="B6" t="str">
        <f t="shared" ref="B6:B69" si="0">DEC2BIN(A6)</f>
        <v>10</v>
      </c>
      <c r="C6" t="str">
        <f t="shared" ref="C6:C69" si="1">DEC2HEX(HEX2DEC("0001")+ROW(A2)-1,4)</f>
        <v>0002</v>
      </c>
      <c r="D6" s="27" t="s">
        <v>383</v>
      </c>
      <c r="E6" s="8" t="s">
        <v>28</v>
      </c>
      <c r="F6" s="8" t="s">
        <v>29</v>
      </c>
      <c r="G6" s="8"/>
      <c r="H6" s="7">
        <v>10</v>
      </c>
      <c r="I6" s="8" t="s">
        <v>534</v>
      </c>
    </row>
    <row r="7" spans="1:10" ht="15" customHeight="1" x14ac:dyDescent="0.25">
      <c r="A7">
        <v>3</v>
      </c>
      <c r="B7" t="str">
        <f t="shared" si="0"/>
        <v>11</v>
      </c>
      <c r="C7" t="str">
        <f t="shared" si="1"/>
        <v>0003</v>
      </c>
      <c r="D7" s="27" t="s">
        <v>383</v>
      </c>
      <c r="E7" s="8" t="s">
        <v>31</v>
      </c>
      <c r="F7" s="8" t="s">
        <v>422</v>
      </c>
      <c r="G7" s="8"/>
      <c r="H7" s="7">
        <v>10</v>
      </c>
      <c r="I7" s="8" t="s">
        <v>533</v>
      </c>
    </row>
    <row r="8" spans="1:10" ht="15" customHeight="1" x14ac:dyDescent="0.25">
      <c r="A8">
        <v>4</v>
      </c>
      <c r="B8" t="str">
        <f t="shared" si="0"/>
        <v>100</v>
      </c>
      <c r="C8" t="str">
        <f t="shared" si="1"/>
        <v>0004</v>
      </c>
      <c r="D8" s="27" t="s">
        <v>383</v>
      </c>
      <c r="E8" s="8" t="s">
        <v>559</v>
      </c>
      <c r="F8" s="8" t="s">
        <v>560</v>
      </c>
      <c r="G8" s="8" t="s">
        <v>536</v>
      </c>
      <c r="H8" s="7" t="s">
        <v>26</v>
      </c>
      <c r="I8" s="8" t="s">
        <v>533</v>
      </c>
    </row>
    <row r="9" spans="1:10" ht="15" customHeight="1" x14ac:dyDescent="0.25">
      <c r="A9">
        <v>5</v>
      </c>
      <c r="B9" t="str">
        <f t="shared" si="0"/>
        <v>101</v>
      </c>
      <c r="C9" t="str">
        <f t="shared" si="1"/>
        <v>0005</v>
      </c>
      <c r="D9" s="27" t="s">
        <v>383</v>
      </c>
      <c r="E9" s="8" t="s">
        <v>37</v>
      </c>
      <c r="F9" s="8" t="s">
        <v>535</v>
      </c>
      <c r="G9" s="8"/>
      <c r="H9" s="7" t="s">
        <v>26</v>
      </c>
      <c r="I9" s="8" t="s">
        <v>534</v>
      </c>
    </row>
    <row r="10" spans="1:10" ht="15" customHeight="1" x14ac:dyDescent="0.25">
      <c r="A10">
        <v>6</v>
      </c>
      <c r="B10" t="str">
        <f t="shared" si="0"/>
        <v>110</v>
      </c>
      <c r="C10" t="str">
        <f t="shared" si="1"/>
        <v>0006</v>
      </c>
      <c r="D10" s="27" t="s">
        <v>383</v>
      </c>
      <c r="E10" s="8" t="s">
        <v>39</v>
      </c>
      <c r="F10" s="8" t="s">
        <v>40</v>
      </c>
      <c r="G10" s="8"/>
      <c r="H10" s="7">
        <v>10</v>
      </c>
      <c r="I10" s="8" t="s">
        <v>533</v>
      </c>
    </row>
    <row r="11" spans="1:10" ht="15" customHeight="1" x14ac:dyDescent="0.25">
      <c r="A11">
        <v>7</v>
      </c>
      <c r="B11" t="str">
        <f t="shared" si="0"/>
        <v>111</v>
      </c>
      <c r="C11" t="str">
        <f t="shared" si="1"/>
        <v>0007</v>
      </c>
      <c r="D11" s="27" t="s">
        <v>383</v>
      </c>
      <c r="E11" s="8" t="s">
        <v>42</v>
      </c>
      <c r="F11" s="8" t="s">
        <v>43</v>
      </c>
      <c r="G11" s="8"/>
      <c r="H11" s="7"/>
      <c r="I11" s="8" t="s">
        <v>533</v>
      </c>
    </row>
    <row r="12" spans="1:10" ht="15" customHeight="1" x14ac:dyDescent="0.25">
      <c r="A12">
        <v>8</v>
      </c>
      <c r="B12" t="str">
        <f t="shared" si="0"/>
        <v>1000</v>
      </c>
      <c r="C12" t="str">
        <f t="shared" si="1"/>
        <v>0008</v>
      </c>
      <c r="D12" s="27" t="s">
        <v>383</v>
      </c>
      <c r="E12" s="8" t="s">
        <v>55</v>
      </c>
      <c r="F12" s="8" t="s">
        <v>56</v>
      </c>
      <c r="G12" s="8" t="s">
        <v>532</v>
      </c>
      <c r="H12" s="7" t="s">
        <v>26</v>
      </c>
      <c r="I12" s="8" t="s">
        <v>528</v>
      </c>
    </row>
    <row r="13" spans="1:10" ht="15" customHeight="1" x14ac:dyDescent="0.25">
      <c r="A13">
        <v>9</v>
      </c>
      <c r="B13" t="str">
        <f t="shared" si="0"/>
        <v>1001</v>
      </c>
      <c r="C13" t="str">
        <f t="shared" si="1"/>
        <v>0009</v>
      </c>
      <c r="D13" s="27" t="s">
        <v>383</v>
      </c>
      <c r="E13" s="8" t="s">
        <v>57</v>
      </c>
      <c r="F13" s="8" t="s">
        <v>58</v>
      </c>
      <c r="G13" s="8"/>
      <c r="H13" s="7" t="s">
        <v>26</v>
      </c>
      <c r="I13" s="8" t="s">
        <v>398</v>
      </c>
    </row>
    <row r="14" spans="1:10" ht="15" customHeight="1" x14ac:dyDescent="0.25">
      <c r="A14">
        <v>10</v>
      </c>
      <c r="B14" t="str">
        <f t="shared" si="0"/>
        <v>1010</v>
      </c>
      <c r="C14" t="str">
        <f t="shared" si="1"/>
        <v>000A</v>
      </c>
      <c r="D14" s="27" t="s">
        <v>383</v>
      </c>
      <c r="E14" s="8" t="s">
        <v>59</v>
      </c>
      <c r="F14" s="8" t="s">
        <v>56</v>
      </c>
      <c r="G14" s="8" t="s">
        <v>529</v>
      </c>
      <c r="H14" s="7" t="s">
        <v>26</v>
      </c>
      <c r="I14" s="8" t="s">
        <v>435</v>
      </c>
    </row>
    <row r="15" spans="1:10" ht="15" customHeight="1" x14ac:dyDescent="0.25">
      <c r="A15">
        <v>11</v>
      </c>
      <c r="B15" t="str">
        <f t="shared" si="0"/>
        <v>1011</v>
      </c>
      <c r="C15" t="str">
        <f t="shared" si="1"/>
        <v>000B</v>
      </c>
      <c r="D15" s="27" t="s">
        <v>383</v>
      </c>
      <c r="E15" s="8" t="s">
        <v>558</v>
      </c>
      <c r="F15" s="8" t="s">
        <v>58</v>
      </c>
      <c r="G15" s="8"/>
      <c r="H15" s="7" t="s">
        <v>26</v>
      </c>
      <c r="I15" s="8" t="s">
        <v>437</v>
      </c>
    </row>
    <row r="16" spans="1:10" ht="15" customHeight="1" x14ac:dyDescent="0.25">
      <c r="A16">
        <v>12</v>
      </c>
      <c r="B16" t="str">
        <f t="shared" si="0"/>
        <v>1100</v>
      </c>
      <c r="C16" t="str">
        <f t="shared" si="1"/>
        <v>000C</v>
      </c>
      <c r="D16" s="27" t="s">
        <v>383</v>
      </c>
      <c r="E16" s="8" t="s">
        <v>526</v>
      </c>
      <c r="F16" s="8" t="s">
        <v>56</v>
      </c>
      <c r="G16" s="8" t="s">
        <v>531</v>
      </c>
      <c r="H16" s="7" t="s">
        <v>26</v>
      </c>
      <c r="I16" s="8" t="s">
        <v>530</v>
      </c>
    </row>
    <row r="17" spans="1:9" ht="15" customHeight="1" x14ac:dyDescent="0.25">
      <c r="A17">
        <v>13</v>
      </c>
      <c r="B17" t="str">
        <f t="shared" si="0"/>
        <v>1101</v>
      </c>
      <c r="C17" t="str">
        <f t="shared" si="1"/>
        <v>000D</v>
      </c>
      <c r="D17" s="27" t="s">
        <v>383</v>
      </c>
      <c r="E17" s="8" t="s">
        <v>527</v>
      </c>
      <c r="F17" s="8" t="s">
        <v>58</v>
      </c>
      <c r="G17" s="8"/>
      <c r="H17" s="7" t="s">
        <v>26</v>
      </c>
      <c r="I17" s="8" t="s">
        <v>437</v>
      </c>
    </row>
    <row r="18" spans="1:9" ht="15" customHeight="1" x14ac:dyDescent="0.25">
      <c r="A18">
        <v>14</v>
      </c>
      <c r="B18" t="str">
        <f t="shared" si="0"/>
        <v>1110</v>
      </c>
      <c r="C18" t="str">
        <f t="shared" si="1"/>
        <v>000E</v>
      </c>
      <c r="D18" s="27" t="s">
        <v>383</v>
      </c>
      <c r="E18" s="8" t="s">
        <v>538</v>
      </c>
      <c r="F18" s="8" t="s">
        <v>539</v>
      </c>
      <c r="G18" s="28" t="s">
        <v>540</v>
      </c>
      <c r="H18" s="7" t="s">
        <v>537</v>
      </c>
      <c r="I18" s="8" t="s">
        <v>534</v>
      </c>
    </row>
    <row r="19" spans="1:9" ht="15" customHeight="1" x14ac:dyDescent="0.25">
      <c r="A19">
        <v>15</v>
      </c>
      <c r="B19" t="str">
        <f t="shared" si="0"/>
        <v>1111</v>
      </c>
      <c r="C19" t="str">
        <f t="shared" si="1"/>
        <v>000F</v>
      </c>
      <c r="D19" s="27" t="s">
        <v>383</v>
      </c>
    </row>
    <row r="20" spans="1:9" ht="15" customHeight="1" x14ac:dyDescent="0.25">
      <c r="A20">
        <v>16</v>
      </c>
      <c r="B20" t="str">
        <f t="shared" si="0"/>
        <v>10000</v>
      </c>
      <c r="C20" t="str">
        <f t="shared" si="1"/>
        <v>0010</v>
      </c>
      <c r="D20" s="27" t="s">
        <v>383</v>
      </c>
    </row>
    <row r="21" spans="1:9" ht="15" customHeight="1" x14ac:dyDescent="0.25">
      <c r="A21">
        <v>17</v>
      </c>
      <c r="B21" t="str">
        <f t="shared" si="0"/>
        <v>10001</v>
      </c>
      <c r="C21" t="str">
        <f t="shared" si="1"/>
        <v>0011</v>
      </c>
      <c r="D21" s="27" t="s">
        <v>383</v>
      </c>
    </row>
    <row r="22" spans="1:9" ht="15" customHeight="1" x14ac:dyDescent="0.25">
      <c r="A22">
        <v>18</v>
      </c>
      <c r="B22" t="str">
        <f t="shared" si="0"/>
        <v>10010</v>
      </c>
      <c r="C22" t="str">
        <f t="shared" si="1"/>
        <v>0012</v>
      </c>
      <c r="D22" s="27" t="s">
        <v>383</v>
      </c>
    </row>
    <row r="23" spans="1:9" ht="15" customHeight="1" x14ac:dyDescent="0.25">
      <c r="A23">
        <v>19</v>
      </c>
      <c r="B23" t="str">
        <f t="shared" si="0"/>
        <v>10011</v>
      </c>
      <c r="C23" t="str">
        <f t="shared" si="1"/>
        <v>0013</v>
      </c>
      <c r="D23" s="27" t="s">
        <v>383</v>
      </c>
    </row>
    <row r="24" spans="1:9" ht="15" customHeight="1" x14ac:dyDescent="0.25">
      <c r="A24">
        <v>20</v>
      </c>
      <c r="B24" t="str">
        <f t="shared" si="0"/>
        <v>10100</v>
      </c>
      <c r="C24" t="str">
        <f t="shared" si="1"/>
        <v>0014</v>
      </c>
      <c r="D24" s="27" t="s">
        <v>383</v>
      </c>
    </row>
    <row r="25" spans="1:9" ht="15" customHeight="1" x14ac:dyDescent="0.25">
      <c r="A25">
        <v>21</v>
      </c>
      <c r="B25" t="str">
        <f t="shared" si="0"/>
        <v>10101</v>
      </c>
      <c r="C25" t="str">
        <f t="shared" si="1"/>
        <v>0015</v>
      </c>
      <c r="D25" s="27" t="s">
        <v>383</v>
      </c>
    </row>
    <row r="26" spans="1:9" ht="15" customHeight="1" x14ac:dyDescent="0.25">
      <c r="A26">
        <v>22</v>
      </c>
      <c r="B26" t="str">
        <f t="shared" si="0"/>
        <v>10110</v>
      </c>
      <c r="C26" t="str">
        <f t="shared" si="1"/>
        <v>0016</v>
      </c>
      <c r="D26" s="27" t="s">
        <v>383</v>
      </c>
    </row>
    <row r="27" spans="1:9" ht="15" customHeight="1" x14ac:dyDescent="0.25">
      <c r="A27">
        <v>23</v>
      </c>
      <c r="B27" t="str">
        <f t="shared" si="0"/>
        <v>10111</v>
      </c>
      <c r="C27" t="str">
        <f t="shared" si="1"/>
        <v>0017</v>
      </c>
      <c r="D27" s="27" t="s">
        <v>383</v>
      </c>
    </row>
    <row r="28" spans="1:9" ht="15" customHeight="1" x14ac:dyDescent="0.25">
      <c r="A28">
        <v>24</v>
      </c>
      <c r="B28" t="str">
        <f t="shared" si="0"/>
        <v>11000</v>
      </c>
      <c r="C28" t="str">
        <f t="shared" si="1"/>
        <v>0018</v>
      </c>
      <c r="D28" s="27" t="s">
        <v>383</v>
      </c>
    </row>
    <row r="29" spans="1:9" ht="15" customHeight="1" x14ac:dyDescent="0.25">
      <c r="A29">
        <v>25</v>
      </c>
      <c r="B29" t="str">
        <f t="shared" si="0"/>
        <v>11001</v>
      </c>
      <c r="C29" t="str">
        <f t="shared" si="1"/>
        <v>0019</v>
      </c>
      <c r="D29" s="27" t="s">
        <v>383</v>
      </c>
    </row>
    <row r="30" spans="1:9" ht="15" customHeight="1" x14ac:dyDescent="0.25">
      <c r="A30">
        <v>26</v>
      </c>
      <c r="B30" t="str">
        <f t="shared" si="0"/>
        <v>11010</v>
      </c>
      <c r="C30" t="str">
        <f t="shared" si="1"/>
        <v>001A</v>
      </c>
      <c r="D30" s="27" t="s">
        <v>383</v>
      </c>
    </row>
    <row r="31" spans="1:9" ht="15" customHeight="1" x14ac:dyDescent="0.25">
      <c r="A31">
        <v>27</v>
      </c>
      <c r="B31" t="str">
        <f t="shared" si="0"/>
        <v>11011</v>
      </c>
      <c r="C31" t="str">
        <f t="shared" si="1"/>
        <v>001B</v>
      </c>
      <c r="D31" s="27" t="s">
        <v>383</v>
      </c>
    </row>
    <row r="32" spans="1:9" ht="15" customHeight="1" x14ac:dyDescent="0.25">
      <c r="A32">
        <v>28</v>
      </c>
      <c r="B32" t="str">
        <f t="shared" si="0"/>
        <v>11100</v>
      </c>
      <c r="C32" t="str">
        <f t="shared" si="1"/>
        <v>001C</v>
      </c>
      <c r="D32" s="27" t="s">
        <v>383</v>
      </c>
    </row>
    <row r="33" spans="1:4" ht="15" customHeight="1" x14ac:dyDescent="0.25">
      <c r="A33">
        <v>29</v>
      </c>
      <c r="B33" t="str">
        <f t="shared" si="0"/>
        <v>11101</v>
      </c>
      <c r="C33" t="str">
        <f t="shared" si="1"/>
        <v>001D</v>
      </c>
      <c r="D33" s="27" t="s">
        <v>383</v>
      </c>
    </row>
    <row r="34" spans="1:4" ht="15" customHeight="1" x14ac:dyDescent="0.25">
      <c r="A34">
        <v>30</v>
      </c>
      <c r="B34" t="str">
        <f t="shared" si="0"/>
        <v>11110</v>
      </c>
      <c r="C34" t="str">
        <f t="shared" si="1"/>
        <v>001E</v>
      </c>
      <c r="D34" s="27" t="s">
        <v>383</v>
      </c>
    </row>
    <row r="35" spans="1:4" ht="15" customHeight="1" x14ac:dyDescent="0.25">
      <c r="A35">
        <v>31</v>
      </c>
      <c r="B35" t="str">
        <f t="shared" si="0"/>
        <v>11111</v>
      </c>
      <c r="C35" t="str">
        <f t="shared" si="1"/>
        <v>001F</v>
      </c>
      <c r="D35" s="27" t="s">
        <v>383</v>
      </c>
    </row>
    <row r="36" spans="1:4" ht="15" customHeight="1" x14ac:dyDescent="0.25">
      <c r="A36">
        <v>32</v>
      </c>
      <c r="B36" t="str">
        <f t="shared" si="0"/>
        <v>100000</v>
      </c>
      <c r="C36" t="str">
        <f t="shared" si="1"/>
        <v>0020</v>
      </c>
      <c r="D36" s="27" t="s">
        <v>383</v>
      </c>
    </row>
    <row r="37" spans="1:4" ht="15" customHeight="1" x14ac:dyDescent="0.25">
      <c r="A37">
        <v>33</v>
      </c>
      <c r="B37" t="str">
        <f t="shared" si="0"/>
        <v>100001</v>
      </c>
      <c r="C37" t="str">
        <f t="shared" si="1"/>
        <v>0021</v>
      </c>
      <c r="D37" s="27" t="s">
        <v>383</v>
      </c>
    </row>
    <row r="38" spans="1:4" ht="15" customHeight="1" x14ac:dyDescent="0.25">
      <c r="A38">
        <v>34</v>
      </c>
      <c r="B38" t="str">
        <f t="shared" si="0"/>
        <v>100010</v>
      </c>
      <c r="C38" t="str">
        <f t="shared" si="1"/>
        <v>0022</v>
      </c>
      <c r="D38" s="27" t="s">
        <v>383</v>
      </c>
    </row>
    <row r="39" spans="1:4" ht="15" customHeight="1" x14ac:dyDescent="0.25">
      <c r="A39">
        <v>35</v>
      </c>
      <c r="B39" t="str">
        <f t="shared" si="0"/>
        <v>100011</v>
      </c>
      <c r="C39" t="str">
        <f t="shared" si="1"/>
        <v>0023</v>
      </c>
      <c r="D39" s="27" t="s">
        <v>383</v>
      </c>
    </row>
    <row r="40" spans="1:4" ht="15" customHeight="1" x14ac:dyDescent="0.25">
      <c r="A40">
        <v>36</v>
      </c>
      <c r="B40" t="str">
        <f t="shared" si="0"/>
        <v>100100</v>
      </c>
      <c r="C40" t="str">
        <f t="shared" si="1"/>
        <v>0024</v>
      </c>
      <c r="D40" s="27" t="s">
        <v>383</v>
      </c>
    </row>
    <row r="41" spans="1:4" ht="15" customHeight="1" x14ac:dyDescent="0.25">
      <c r="A41">
        <v>37</v>
      </c>
      <c r="B41" t="str">
        <f t="shared" si="0"/>
        <v>100101</v>
      </c>
      <c r="C41" t="str">
        <f t="shared" si="1"/>
        <v>0025</v>
      </c>
      <c r="D41" s="27" t="s">
        <v>383</v>
      </c>
    </row>
    <row r="42" spans="1:4" ht="15" customHeight="1" x14ac:dyDescent="0.25">
      <c r="A42">
        <v>38</v>
      </c>
      <c r="B42" t="str">
        <f t="shared" si="0"/>
        <v>100110</v>
      </c>
      <c r="C42" t="str">
        <f t="shared" si="1"/>
        <v>0026</v>
      </c>
      <c r="D42" s="27" t="s">
        <v>383</v>
      </c>
    </row>
    <row r="43" spans="1:4" ht="15" customHeight="1" x14ac:dyDescent="0.25">
      <c r="A43">
        <v>39</v>
      </c>
      <c r="B43" t="str">
        <f t="shared" si="0"/>
        <v>100111</v>
      </c>
      <c r="C43" t="str">
        <f t="shared" si="1"/>
        <v>0027</v>
      </c>
      <c r="D43" s="27" t="s">
        <v>383</v>
      </c>
    </row>
    <row r="44" spans="1:4" ht="15" customHeight="1" x14ac:dyDescent="0.25">
      <c r="A44">
        <v>40</v>
      </c>
      <c r="B44" t="str">
        <f t="shared" si="0"/>
        <v>101000</v>
      </c>
      <c r="C44" t="str">
        <f t="shared" si="1"/>
        <v>0028</v>
      </c>
      <c r="D44" s="27" t="s">
        <v>383</v>
      </c>
    </row>
    <row r="45" spans="1:4" ht="15" customHeight="1" x14ac:dyDescent="0.25">
      <c r="A45">
        <v>41</v>
      </c>
      <c r="B45" t="str">
        <f t="shared" si="0"/>
        <v>101001</v>
      </c>
      <c r="C45" t="str">
        <f t="shared" si="1"/>
        <v>0029</v>
      </c>
      <c r="D45" s="27" t="s">
        <v>383</v>
      </c>
    </row>
    <row r="46" spans="1:4" ht="15" customHeight="1" x14ac:dyDescent="0.25">
      <c r="A46">
        <v>42</v>
      </c>
      <c r="B46" t="str">
        <f t="shared" si="0"/>
        <v>101010</v>
      </c>
      <c r="C46" t="str">
        <f t="shared" si="1"/>
        <v>002A</v>
      </c>
      <c r="D46" s="27" t="s">
        <v>383</v>
      </c>
    </row>
    <row r="47" spans="1:4" ht="15" customHeight="1" x14ac:dyDescent="0.25">
      <c r="A47">
        <v>43</v>
      </c>
      <c r="B47" t="str">
        <f t="shared" si="0"/>
        <v>101011</v>
      </c>
      <c r="C47" t="str">
        <f t="shared" si="1"/>
        <v>002B</v>
      </c>
      <c r="D47" s="27" t="s">
        <v>383</v>
      </c>
    </row>
    <row r="48" spans="1:4" ht="15" customHeight="1" x14ac:dyDescent="0.25">
      <c r="A48">
        <v>44</v>
      </c>
      <c r="B48" t="str">
        <f t="shared" si="0"/>
        <v>101100</v>
      </c>
      <c r="C48" t="str">
        <f t="shared" si="1"/>
        <v>002C</v>
      </c>
      <c r="D48" s="27" t="s">
        <v>383</v>
      </c>
    </row>
    <row r="49" spans="1:4" ht="15" customHeight="1" x14ac:dyDescent="0.25">
      <c r="A49">
        <v>45</v>
      </c>
      <c r="B49" t="str">
        <f t="shared" si="0"/>
        <v>101101</v>
      </c>
      <c r="C49" t="str">
        <f t="shared" si="1"/>
        <v>002D</v>
      </c>
      <c r="D49" s="27" t="s">
        <v>383</v>
      </c>
    </row>
    <row r="50" spans="1:4" ht="15" customHeight="1" x14ac:dyDescent="0.25">
      <c r="A50">
        <v>46</v>
      </c>
      <c r="B50" t="str">
        <f t="shared" si="0"/>
        <v>101110</v>
      </c>
      <c r="C50" t="str">
        <f t="shared" si="1"/>
        <v>002E</v>
      </c>
      <c r="D50" s="27" t="s">
        <v>383</v>
      </c>
    </row>
    <row r="51" spans="1:4" ht="15" customHeight="1" x14ac:dyDescent="0.25">
      <c r="A51">
        <v>47</v>
      </c>
      <c r="B51" t="str">
        <f t="shared" si="0"/>
        <v>101111</v>
      </c>
      <c r="C51" t="str">
        <f t="shared" si="1"/>
        <v>002F</v>
      </c>
      <c r="D51" s="27" t="s">
        <v>383</v>
      </c>
    </row>
    <row r="52" spans="1:4" ht="15" customHeight="1" x14ac:dyDescent="0.25">
      <c r="A52">
        <v>48</v>
      </c>
      <c r="B52" t="str">
        <f t="shared" si="0"/>
        <v>110000</v>
      </c>
      <c r="C52" t="str">
        <f t="shared" si="1"/>
        <v>0030</v>
      </c>
      <c r="D52" s="27" t="s">
        <v>383</v>
      </c>
    </row>
    <row r="53" spans="1:4" ht="15" customHeight="1" x14ac:dyDescent="0.25">
      <c r="A53">
        <v>49</v>
      </c>
      <c r="B53" t="str">
        <f t="shared" si="0"/>
        <v>110001</v>
      </c>
      <c r="C53" t="str">
        <f t="shared" si="1"/>
        <v>0031</v>
      </c>
      <c r="D53" s="27" t="s">
        <v>383</v>
      </c>
    </row>
    <row r="54" spans="1:4" ht="15" customHeight="1" x14ac:dyDescent="0.25">
      <c r="A54">
        <v>50</v>
      </c>
      <c r="B54" t="str">
        <f t="shared" si="0"/>
        <v>110010</v>
      </c>
      <c r="C54" t="str">
        <f t="shared" si="1"/>
        <v>0032</v>
      </c>
      <c r="D54" s="27" t="s">
        <v>383</v>
      </c>
    </row>
    <row r="55" spans="1:4" ht="15" customHeight="1" x14ac:dyDescent="0.25">
      <c r="A55">
        <v>51</v>
      </c>
      <c r="B55" t="str">
        <f t="shared" si="0"/>
        <v>110011</v>
      </c>
      <c r="C55" t="str">
        <f t="shared" si="1"/>
        <v>0033</v>
      </c>
      <c r="D55" s="27" t="s">
        <v>383</v>
      </c>
    </row>
    <row r="56" spans="1:4" ht="15" customHeight="1" x14ac:dyDescent="0.25">
      <c r="A56">
        <v>52</v>
      </c>
      <c r="B56" t="str">
        <f t="shared" si="0"/>
        <v>110100</v>
      </c>
      <c r="C56" t="str">
        <f t="shared" si="1"/>
        <v>0034</v>
      </c>
      <c r="D56" s="27" t="s">
        <v>383</v>
      </c>
    </row>
    <row r="57" spans="1:4" ht="15" customHeight="1" x14ac:dyDescent="0.25">
      <c r="A57">
        <v>53</v>
      </c>
      <c r="B57" t="str">
        <f t="shared" si="0"/>
        <v>110101</v>
      </c>
      <c r="C57" t="str">
        <f t="shared" si="1"/>
        <v>0035</v>
      </c>
      <c r="D57" s="27" t="s">
        <v>383</v>
      </c>
    </row>
    <row r="58" spans="1:4" ht="15" customHeight="1" x14ac:dyDescent="0.25">
      <c r="A58">
        <v>54</v>
      </c>
      <c r="B58" t="str">
        <f t="shared" si="0"/>
        <v>110110</v>
      </c>
      <c r="C58" t="str">
        <f t="shared" si="1"/>
        <v>0036</v>
      </c>
      <c r="D58" s="27" t="s">
        <v>383</v>
      </c>
    </row>
    <row r="59" spans="1:4" ht="15" customHeight="1" x14ac:dyDescent="0.25">
      <c r="A59">
        <v>55</v>
      </c>
      <c r="B59" t="str">
        <f t="shared" si="0"/>
        <v>110111</v>
      </c>
      <c r="C59" t="str">
        <f t="shared" si="1"/>
        <v>0037</v>
      </c>
      <c r="D59" s="27" t="s">
        <v>383</v>
      </c>
    </row>
    <row r="60" spans="1:4" ht="15" customHeight="1" x14ac:dyDescent="0.25">
      <c r="A60">
        <v>56</v>
      </c>
      <c r="B60" t="str">
        <f t="shared" si="0"/>
        <v>111000</v>
      </c>
      <c r="C60" t="str">
        <f t="shared" si="1"/>
        <v>0038</v>
      </c>
      <c r="D60" s="27" t="s">
        <v>383</v>
      </c>
    </row>
    <row r="61" spans="1:4" ht="15" customHeight="1" x14ac:dyDescent="0.25">
      <c r="A61">
        <v>57</v>
      </c>
      <c r="B61" t="str">
        <f t="shared" si="0"/>
        <v>111001</v>
      </c>
      <c r="C61" t="str">
        <f t="shared" si="1"/>
        <v>0039</v>
      </c>
      <c r="D61" s="27" t="s">
        <v>383</v>
      </c>
    </row>
    <row r="62" spans="1:4" ht="15" customHeight="1" x14ac:dyDescent="0.25">
      <c r="A62">
        <v>58</v>
      </c>
      <c r="B62" t="str">
        <f t="shared" si="0"/>
        <v>111010</v>
      </c>
      <c r="C62" t="str">
        <f t="shared" si="1"/>
        <v>003A</v>
      </c>
      <c r="D62" s="27" t="s">
        <v>383</v>
      </c>
    </row>
    <row r="63" spans="1:4" ht="15" customHeight="1" x14ac:dyDescent="0.25">
      <c r="A63">
        <v>59</v>
      </c>
      <c r="B63" t="str">
        <f t="shared" si="0"/>
        <v>111011</v>
      </c>
      <c r="C63" t="str">
        <f t="shared" si="1"/>
        <v>003B</v>
      </c>
      <c r="D63" s="27" t="s">
        <v>383</v>
      </c>
    </row>
    <row r="64" spans="1:4" ht="15" customHeight="1" x14ac:dyDescent="0.25">
      <c r="A64">
        <v>60</v>
      </c>
      <c r="B64" t="str">
        <f t="shared" si="0"/>
        <v>111100</v>
      </c>
      <c r="C64" t="str">
        <f t="shared" si="1"/>
        <v>003C</v>
      </c>
      <c r="D64" s="27" t="s">
        <v>383</v>
      </c>
    </row>
    <row r="65" spans="1:9" ht="15" customHeight="1" x14ac:dyDescent="0.25">
      <c r="A65">
        <v>61</v>
      </c>
      <c r="B65" t="str">
        <f t="shared" si="0"/>
        <v>111101</v>
      </c>
      <c r="C65" t="str">
        <f t="shared" si="1"/>
        <v>003D</v>
      </c>
      <c r="D65" s="27" t="s">
        <v>383</v>
      </c>
    </row>
    <row r="66" spans="1:9" ht="15" customHeight="1" x14ac:dyDescent="0.25">
      <c r="A66">
        <v>62</v>
      </c>
      <c r="B66" t="str">
        <f t="shared" si="0"/>
        <v>111110</v>
      </c>
      <c r="C66" t="str">
        <f t="shared" si="1"/>
        <v>003E</v>
      </c>
      <c r="D66" s="27" t="s">
        <v>383</v>
      </c>
    </row>
    <row r="67" spans="1:9" ht="15" customHeight="1" x14ac:dyDescent="0.25">
      <c r="A67">
        <v>63</v>
      </c>
      <c r="B67" t="str">
        <f t="shared" si="0"/>
        <v>111111</v>
      </c>
      <c r="C67" t="str">
        <f t="shared" si="1"/>
        <v>003F</v>
      </c>
      <c r="D67" s="27" t="s">
        <v>383</v>
      </c>
    </row>
    <row r="68" spans="1:9" ht="15" customHeight="1" x14ac:dyDescent="0.25">
      <c r="A68">
        <v>64</v>
      </c>
      <c r="B68" t="str">
        <f t="shared" si="0"/>
        <v>1000000</v>
      </c>
      <c r="C68" t="str">
        <f>DEC2HEX(HEX2DEC("0001")+ROW(A64)-1,4)</f>
        <v>0040</v>
      </c>
      <c r="D68" t="s">
        <v>130</v>
      </c>
      <c r="E68" s="8" t="s">
        <v>65</v>
      </c>
      <c r="F68" s="8" t="s">
        <v>66</v>
      </c>
      <c r="G68" s="8"/>
      <c r="H68" s="7" t="s">
        <v>26</v>
      </c>
      <c r="I68" s="8" t="s">
        <v>15</v>
      </c>
    </row>
    <row r="69" spans="1:9" ht="15" customHeight="1" x14ac:dyDescent="0.25">
      <c r="A69">
        <v>65</v>
      </c>
      <c r="B69" t="str">
        <f t="shared" si="0"/>
        <v>1000001</v>
      </c>
      <c r="C69" t="str">
        <f t="shared" si="1"/>
        <v>0041</v>
      </c>
      <c r="D69" t="s">
        <v>130</v>
      </c>
      <c r="E69" s="8" t="s">
        <v>67</v>
      </c>
      <c r="F69" s="8" t="s">
        <v>68</v>
      </c>
      <c r="G69" s="8"/>
      <c r="H69" s="7" t="s">
        <v>26</v>
      </c>
      <c r="I69" s="8" t="s">
        <v>15</v>
      </c>
    </row>
    <row r="70" spans="1:9" ht="15" customHeight="1" x14ac:dyDescent="0.25">
      <c r="A70">
        <v>66</v>
      </c>
      <c r="B70" t="str">
        <f t="shared" ref="B70:B133" si="2">DEC2BIN(A70)</f>
        <v>1000010</v>
      </c>
      <c r="C70" t="str">
        <f t="shared" ref="C70:C133" si="3">DEC2HEX(HEX2DEC("0001")+ROW(A66)-1,4)</f>
        <v>0042</v>
      </c>
      <c r="D70" t="s">
        <v>130</v>
      </c>
      <c r="E70" s="8" t="s">
        <v>81</v>
      </c>
      <c r="F70" s="8" t="s">
        <v>82</v>
      </c>
      <c r="G70" s="9"/>
      <c r="H70" s="7" t="s">
        <v>26</v>
      </c>
      <c r="I70" s="8" t="s">
        <v>15</v>
      </c>
    </row>
    <row r="71" spans="1:9" ht="15" customHeight="1" x14ac:dyDescent="0.25">
      <c r="A71">
        <v>67</v>
      </c>
      <c r="B71" t="str">
        <f t="shared" si="2"/>
        <v>1000011</v>
      </c>
      <c r="C71" t="str">
        <f t="shared" si="3"/>
        <v>0043</v>
      </c>
      <c r="D71" t="s">
        <v>130</v>
      </c>
      <c r="E71" s="8" t="s">
        <v>438</v>
      </c>
      <c r="F71" s="8" t="s">
        <v>82</v>
      </c>
      <c r="G71" s="9"/>
      <c r="H71" s="7" t="s">
        <v>26</v>
      </c>
      <c r="I71" s="9" t="s">
        <v>15</v>
      </c>
    </row>
    <row r="72" spans="1:9" ht="15" customHeight="1" x14ac:dyDescent="0.25">
      <c r="A72">
        <v>68</v>
      </c>
      <c r="B72" t="str">
        <f t="shared" si="2"/>
        <v>1000100</v>
      </c>
      <c r="C72" t="str">
        <f t="shared" si="3"/>
        <v>0044</v>
      </c>
      <c r="D72" t="s">
        <v>130</v>
      </c>
      <c r="E72" s="8" t="s">
        <v>545</v>
      </c>
      <c r="F72" s="8" t="s">
        <v>70</v>
      </c>
      <c r="G72" s="8" t="s">
        <v>440</v>
      </c>
      <c r="H72" s="7">
        <v>10</v>
      </c>
      <c r="I72" s="8" t="s">
        <v>541</v>
      </c>
    </row>
    <row r="73" spans="1:9" ht="15" customHeight="1" x14ac:dyDescent="0.25">
      <c r="A73">
        <v>69</v>
      </c>
      <c r="B73" t="str">
        <f t="shared" si="2"/>
        <v>1000101</v>
      </c>
      <c r="C73" t="str">
        <f t="shared" si="3"/>
        <v>0045</v>
      </c>
      <c r="D73" t="s">
        <v>130</v>
      </c>
      <c r="E73" s="8" t="s">
        <v>546</v>
      </c>
      <c r="F73" s="8" t="s">
        <v>72</v>
      </c>
      <c r="G73" s="8"/>
      <c r="H73" s="7">
        <v>10</v>
      </c>
      <c r="I73" s="8" t="s">
        <v>541</v>
      </c>
    </row>
    <row r="74" spans="1:9" ht="15" customHeight="1" x14ac:dyDescent="0.25">
      <c r="A74">
        <v>70</v>
      </c>
      <c r="B74" t="str">
        <f t="shared" si="2"/>
        <v>1000110</v>
      </c>
      <c r="C74" t="str">
        <f t="shared" si="3"/>
        <v>0046</v>
      </c>
      <c r="D74" t="s">
        <v>130</v>
      </c>
      <c r="E74" s="8" t="s">
        <v>547</v>
      </c>
      <c r="F74" s="8" t="s">
        <v>74</v>
      </c>
      <c r="G74" s="8"/>
      <c r="H74" s="7">
        <v>10</v>
      </c>
      <c r="I74" s="8" t="s">
        <v>541</v>
      </c>
    </row>
    <row r="75" spans="1:9" ht="15" customHeight="1" x14ac:dyDescent="0.25">
      <c r="A75">
        <v>71</v>
      </c>
      <c r="B75" t="str">
        <f t="shared" si="2"/>
        <v>1000111</v>
      </c>
      <c r="C75" t="str">
        <f t="shared" si="3"/>
        <v>0047</v>
      </c>
      <c r="D75" t="s">
        <v>130</v>
      </c>
      <c r="E75" s="8" t="s">
        <v>548</v>
      </c>
      <c r="F75" s="8" t="s">
        <v>76</v>
      </c>
      <c r="G75" s="8"/>
      <c r="H75" s="7">
        <v>10</v>
      </c>
      <c r="I75" s="8" t="s">
        <v>541</v>
      </c>
    </row>
    <row r="76" spans="1:9" ht="15" customHeight="1" x14ac:dyDescent="0.25">
      <c r="A76">
        <v>72</v>
      </c>
      <c r="B76" t="str">
        <f t="shared" si="2"/>
        <v>1001000</v>
      </c>
      <c r="C76" t="str">
        <f t="shared" si="3"/>
        <v>0048</v>
      </c>
      <c r="D76" t="s">
        <v>130</v>
      </c>
      <c r="E76" s="8" t="s">
        <v>549</v>
      </c>
      <c r="F76" s="8" t="s">
        <v>154</v>
      </c>
      <c r="G76" s="8" t="s">
        <v>440</v>
      </c>
      <c r="H76" s="7">
        <v>10</v>
      </c>
      <c r="I76" s="8" t="s">
        <v>542</v>
      </c>
    </row>
    <row r="77" spans="1:9" ht="15" customHeight="1" x14ac:dyDescent="0.25">
      <c r="A77">
        <v>73</v>
      </c>
      <c r="B77" t="str">
        <f t="shared" si="2"/>
        <v>1001001</v>
      </c>
      <c r="C77" t="str">
        <f t="shared" si="3"/>
        <v>0049</v>
      </c>
      <c r="D77" t="s">
        <v>130</v>
      </c>
      <c r="E77" s="8" t="s">
        <v>550</v>
      </c>
      <c r="F77" s="8" t="s">
        <v>155</v>
      </c>
      <c r="G77" s="8"/>
      <c r="H77" s="7">
        <v>10</v>
      </c>
      <c r="I77" s="8" t="s">
        <v>542</v>
      </c>
    </row>
    <row r="78" spans="1:9" ht="15" customHeight="1" x14ac:dyDescent="0.25">
      <c r="A78">
        <v>74</v>
      </c>
      <c r="B78" t="str">
        <f t="shared" si="2"/>
        <v>1001010</v>
      </c>
      <c r="C78" t="str">
        <f t="shared" si="3"/>
        <v>004A</v>
      </c>
      <c r="D78" t="s">
        <v>130</v>
      </c>
      <c r="E78" s="8" t="s">
        <v>551</v>
      </c>
      <c r="F78" s="8" t="s">
        <v>156</v>
      </c>
      <c r="G78" s="8"/>
      <c r="H78" s="7">
        <v>10</v>
      </c>
      <c r="I78" s="8" t="s">
        <v>542</v>
      </c>
    </row>
    <row r="79" spans="1:9" ht="15" customHeight="1" x14ac:dyDescent="0.25">
      <c r="A79">
        <v>75</v>
      </c>
      <c r="B79" t="str">
        <f t="shared" si="2"/>
        <v>1001011</v>
      </c>
      <c r="C79" t="str">
        <f t="shared" si="3"/>
        <v>004B</v>
      </c>
      <c r="D79" t="s">
        <v>130</v>
      </c>
      <c r="E79" s="8" t="s">
        <v>552</v>
      </c>
      <c r="F79" s="8" t="s">
        <v>157</v>
      </c>
      <c r="G79" s="8"/>
      <c r="H79" s="7">
        <v>10</v>
      </c>
      <c r="I79" s="8" t="s">
        <v>542</v>
      </c>
    </row>
    <row r="80" spans="1:9" ht="15" customHeight="1" x14ac:dyDescent="0.25">
      <c r="A80">
        <v>76</v>
      </c>
      <c r="B80" t="str">
        <f t="shared" si="2"/>
        <v>1001100</v>
      </c>
      <c r="C80" t="str">
        <f t="shared" si="3"/>
        <v>004C</v>
      </c>
      <c r="D80" t="s">
        <v>130</v>
      </c>
    </row>
    <row r="81" spans="1:4" ht="15" customHeight="1" x14ac:dyDescent="0.25">
      <c r="A81">
        <v>77</v>
      </c>
      <c r="B81" t="str">
        <f t="shared" si="2"/>
        <v>1001101</v>
      </c>
      <c r="C81" t="str">
        <f t="shared" si="3"/>
        <v>004D</v>
      </c>
      <c r="D81" t="s">
        <v>130</v>
      </c>
    </row>
    <row r="82" spans="1:4" ht="15" customHeight="1" x14ac:dyDescent="0.25">
      <c r="A82">
        <v>78</v>
      </c>
      <c r="B82" t="str">
        <f t="shared" si="2"/>
        <v>1001110</v>
      </c>
      <c r="C82" t="str">
        <f t="shared" si="3"/>
        <v>004E</v>
      </c>
      <c r="D82" t="s">
        <v>130</v>
      </c>
    </row>
    <row r="83" spans="1:4" ht="15" customHeight="1" x14ac:dyDescent="0.25">
      <c r="A83">
        <v>79</v>
      </c>
      <c r="B83" t="str">
        <f t="shared" si="2"/>
        <v>1001111</v>
      </c>
      <c r="C83" t="str">
        <f t="shared" si="3"/>
        <v>004F</v>
      </c>
      <c r="D83" t="s">
        <v>130</v>
      </c>
    </row>
    <row r="84" spans="1:4" ht="15" customHeight="1" x14ac:dyDescent="0.25">
      <c r="A84">
        <v>80</v>
      </c>
      <c r="B84" t="str">
        <f t="shared" si="2"/>
        <v>1010000</v>
      </c>
      <c r="C84" t="str">
        <f t="shared" si="3"/>
        <v>0050</v>
      </c>
      <c r="D84" t="s">
        <v>130</v>
      </c>
    </row>
    <row r="85" spans="1:4" ht="15" customHeight="1" x14ac:dyDescent="0.25">
      <c r="A85">
        <v>81</v>
      </c>
      <c r="B85" t="str">
        <f t="shared" si="2"/>
        <v>1010001</v>
      </c>
      <c r="C85" t="str">
        <f t="shared" si="3"/>
        <v>0051</v>
      </c>
      <c r="D85" t="s">
        <v>130</v>
      </c>
    </row>
    <row r="86" spans="1:4" ht="15" customHeight="1" x14ac:dyDescent="0.25">
      <c r="A86">
        <v>82</v>
      </c>
      <c r="B86" t="str">
        <f t="shared" si="2"/>
        <v>1010010</v>
      </c>
      <c r="C86" t="str">
        <f t="shared" si="3"/>
        <v>0052</v>
      </c>
      <c r="D86" t="s">
        <v>130</v>
      </c>
    </row>
    <row r="87" spans="1:4" ht="15" customHeight="1" x14ac:dyDescent="0.25">
      <c r="A87">
        <v>83</v>
      </c>
      <c r="B87" t="str">
        <f t="shared" si="2"/>
        <v>1010011</v>
      </c>
      <c r="C87" t="str">
        <f t="shared" si="3"/>
        <v>0053</v>
      </c>
      <c r="D87" t="s">
        <v>130</v>
      </c>
    </row>
    <row r="88" spans="1:4" ht="15" customHeight="1" x14ac:dyDescent="0.25">
      <c r="A88">
        <v>84</v>
      </c>
      <c r="B88" t="str">
        <f t="shared" si="2"/>
        <v>1010100</v>
      </c>
      <c r="C88" t="str">
        <f t="shared" si="3"/>
        <v>0054</v>
      </c>
      <c r="D88" t="s">
        <v>130</v>
      </c>
    </row>
    <row r="89" spans="1:4" ht="15" customHeight="1" x14ac:dyDescent="0.25">
      <c r="A89">
        <v>85</v>
      </c>
      <c r="B89" t="str">
        <f t="shared" si="2"/>
        <v>1010101</v>
      </c>
      <c r="C89" t="str">
        <f t="shared" si="3"/>
        <v>0055</v>
      </c>
      <c r="D89" t="s">
        <v>130</v>
      </c>
    </row>
    <row r="90" spans="1:4" ht="15" customHeight="1" x14ac:dyDescent="0.25">
      <c r="A90">
        <v>86</v>
      </c>
      <c r="B90" t="str">
        <f t="shared" si="2"/>
        <v>1010110</v>
      </c>
      <c r="C90" t="str">
        <f t="shared" si="3"/>
        <v>0056</v>
      </c>
      <c r="D90" t="s">
        <v>130</v>
      </c>
    </row>
    <row r="91" spans="1:4" ht="15" customHeight="1" x14ac:dyDescent="0.25">
      <c r="A91">
        <v>87</v>
      </c>
      <c r="B91" t="str">
        <f t="shared" si="2"/>
        <v>1010111</v>
      </c>
      <c r="C91" t="str">
        <f t="shared" si="3"/>
        <v>0057</v>
      </c>
      <c r="D91" t="s">
        <v>130</v>
      </c>
    </row>
    <row r="92" spans="1:4" ht="15" customHeight="1" x14ac:dyDescent="0.25">
      <c r="A92">
        <v>88</v>
      </c>
      <c r="B92" t="str">
        <f t="shared" si="2"/>
        <v>1011000</v>
      </c>
      <c r="C92" t="str">
        <f t="shared" si="3"/>
        <v>0058</v>
      </c>
      <c r="D92" t="s">
        <v>130</v>
      </c>
    </row>
    <row r="93" spans="1:4" ht="15" customHeight="1" x14ac:dyDescent="0.25">
      <c r="A93">
        <v>89</v>
      </c>
      <c r="B93" t="str">
        <f t="shared" si="2"/>
        <v>1011001</v>
      </c>
      <c r="C93" t="str">
        <f t="shared" si="3"/>
        <v>0059</v>
      </c>
      <c r="D93" t="s">
        <v>130</v>
      </c>
    </row>
    <row r="94" spans="1:4" ht="15" customHeight="1" x14ac:dyDescent="0.25">
      <c r="A94">
        <v>90</v>
      </c>
      <c r="B94" t="str">
        <f t="shared" si="2"/>
        <v>1011010</v>
      </c>
      <c r="C94" t="str">
        <f t="shared" si="3"/>
        <v>005A</v>
      </c>
      <c r="D94" t="s">
        <v>130</v>
      </c>
    </row>
    <row r="95" spans="1:4" ht="15" customHeight="1" x14ac:dyDescent="0.25">
      <c r="A95">
        <v>91</v>
      </c>
      <c r="B95" t="str">
        <f t="shared" si="2"/>
        <v>1011011</v>
      </c>
      <c r="C95" t="str">
        <f t="shared" si="3"/>
        <v>005B</v>
      </c>
      <c r="D95" t="s">
        <v>130</v>
      </c>
    </row>
    <row r="96" spans="1:4" ht="15" customHeight="1" x14ac:dyDescent="0.25">
      <c r="A96">
        <v>92</v>
      </c>
      <c r="B96" t="str">
        <f t="shared" si="2"/>
        <v>1011100</v>
      </c>
      <c r="C96" t="str">
        <f t="shared" si="3"/>
        <v>005C</v>
      </c>
      <c r="D96" t="s">
        <v>130</v>
      </c>
    </row>
    <row r="97" spans="1:4" ht="15" customHeight="1" x14ac:dyDescent="0.25">
      <c r="A97">
        <v>93</v>
      </c>
      <c r="B97" t="str">
        <f t="shared" si="2"/>
        <v>1011101</v>
      </c>
      <c r="C97" t="str">
        <f t="shared" si="3"/>
        <v>005D</v>
      </c>
      <c r="D97" t="s">
        <v>130</v>
      </c>
    </row>
    <row r="98" spans="1:4" ht="15" customHeight="1" x14ac:dyDescent="0.25">
      <c r="A98">
        <v>94</v>
      </c>
      <c r="B98" t="str">
        <f t="shared" si="2"/>
        <v>1011110</v>
      </c>
      <c r="C98" t="str">
        <f t="shared" si="3"/>
        <v>005E</v>
      </c>
      <c r="D98" t="s">
        <v>130</v>
      </c>
    </row>
    <row r="99" spans="1:4" ht="15" customHeight="1" x14ac:dyDescent="0.25">
      <c r="A99">
        <v>95</v>
      </c>
      <c r="B99" t="str">
        <f t="shared" si="2"/>
        <v>1011111</v>
      </c>
      <c r="C99" t="str">
        <f t="shared" si="3"/>
        <v>005F</v>
      </c>
      <c r="D99" t="s">
        <v>130</v>
      </c>
    </row>
    <row r="100" spans="1:4" ht="15" customHeight="1" x14ac:dyDescent="0.25">
      <c r="A100">
        <v>96</v>
      </c>
      <c r="B100" t="str">
        <f t="shared" si="2"/>
        <v>1100000</v>
      </c>
      <c r="C100" t="str">
        <f t="shared" si="3"/>
        <v>0060</v>
      </c>
      <c r="D100" t="s">
        <v>130</v>
      </c>
    </row>
    <row r="101" spans="1:4" ht="15" customHeight="1" x14ac:dyDescent="0.25">
      <c r="A101">
        <v>97</v>
      </c>
      <c r="B101" t="str">
        <f t="shared" si="2"/>
        <v>1100001</v>
      </c>
      <c r="C101" t="str">
        <f t="shared" si="3"/>
        <v>0061</v>
      </c>
      <c r="D101" t="s">
        <v>130</v>
      </c>
    </row>
    <row r="102" spans="1:4" ht="15" customHeight="1" x14ac:dyDescent="0.25">
      <c r="A102">
        <v>98</v>
      </c>
      <c r="B102" t="str">
        <f t="shared" si="2"/>
        <v>1100010</v>
      </c>
      <c r="C102" t="str">
        <f t="shared" si="3"/>
        <v>0062</v>
      </c>
      <c r="D102" t="s">
        <v>130</v>
      </c>
    </row>
    <row r="103" spans="1:4" ht="15" customHeight="1" x14ac:dyDescent="0.25">
      <c r="A103">
        <v>99</v>
      </c>
      <c r="B103" t="str">
        <f t="shared" si="2"/>
        <v>1100011</v>
      </c>
      <c r="C103" t="str">
        <f t="shared" si="3"/>
        <v>0063</v>
      </c>
      <c r="D103" t="s">
        <v>130</v>
      </c>
    </row>
    <row r="104" spans="1:4" ht="15" customHeight="1" x14ac:dyDescent="0.25">
      <c r="A104">
        <v>100</v>
      </c>
      <c r="B104" t="str">
        <f t="shared" si="2"/>
        <v>1100100</v>
      </c>
      <c r="C104" t="str">
        <f t="shared" si="3"/>
        <v>0064</v>
      </c>
      <c r="D104" t="s">
        <v>130</v>
      </c>
    </row>
    <row r="105" spans="1:4" ht="15" customHeight="1" x14ac:dyDescent="0.25">
      <c r="A105">
        <v>101</v>
      </c>
      <c r="B105" t="str">
        <f t="shared" si="2"/>
        <v>1100101</v>
      </c>
      <c r="C105" t="str">
        <f t="shared" si="3"/>
        <v>0065</v>
      </c>
      <c r="D105" t="s">
        <v>130</v>
      </c>
    </row>
    <row r="106" spans="1:4" ht="15" customHeight="1" x14ac:dyDescent="0.25">
      <c r="A106">
        <v>102</v>
      </c>
      <c r="B106" t="str">
        <f t="shared" si="2"/>
        <v>1100110</v>
      </c>
      <c r="C106" t="str">
        <f t="shared" si="3"/>
        <v>0066</v>
      </c>
      <c r="D106" t="s">
        <v>130</v>
      </c>
    </row>
    <row r="107" spans="1:4" ht="15" customHeight="1" x14ac:dyDescent="0.25">
      <c r="A107">
        <v>103</v>
      </c>
      <c r="B107" t="str">
        <f t="shared" si="2"/>
        <v>1100111</v>
      </c>
      <c r="C107" t="str">
        <f t="shared" si="3"/>
        <v>0067</v>
      </c>
      <c r="D107" t="s">
        <v>130</v>
      </c>
    </row>
    <row r="108" spans="1:4" ht="15" customHeight="1" x14ac:dyDescent="0.25">
      <c r="A108">
        <v>104</v>
      </c>
      <c r="B108" t="str">
        <f t="shared" si="2"/>
        <v>1101000</v>
      </c>
      <c r="C108" t="str">
        <f t="shared" si="3"/>
        <v>0068</v>
      </c>
      <c r="D108" t="s">
        <v>130</v>
      </c>
    </row>
    <row r="109" spans="1:4" ht="15" customHeight="1" x14ac:dyDescent="0.25">
      <c r="A109">
        <v>105</v>
      </c>
      <c r="B109" t="str">
        <f t="shared" si="2"/>
        <v>1101001</v>
      </c>
      <c r="C109" t="str">
        <f t="shared" si="3"/>
        <v>0069</v>
      </c>
      <c r="D109" t="s">
        <v>130</v>
      </c>
    </row>
    <row r="110" spans="1:4" ht="15" customHeight="1" x14ac:dyDescent="0.25">
      <c r="A110">
        <v>106</v>
      </c>
      <c r="B110" t="str">
        <f t="shared" si="2"/>
        <v>1101010</v>
      </c>
      <c r="C110" t="str">
        <f t="shared" si="3"/>
        <v>006A</v>
      </c>
      <c r="D110" t="s">
        <v>130</v>
      </c>
    </row>
    <row r="111" spans="1:4" ht="15" customHeight="1" x14ac:dyDescent="0.25">
      <c r="A111">
        <v>107</v>
      </c>
      <c r="B111" t="str">
        <f t="shared" si="2"/>
        <v>1101011</v>
      </c>
      <c r="C111" t="str">
        <f t="shared" si="3"/>
        <v>006B</v>
      </c>
      <c r="D111" t="s">
        <v>130</v>
      </c>
    </row>
    <row r="112" spans="1:4" ht="15" customHeight="1" x14ac:dyDescent="0.25">
      <c r="A112">
        <v>108</v>
      </c>
      <c r="B112" t="str">
        <f t="shared" si="2"/>
        <v>1101100</v>
      </c>
      <c r="C112" t="str">
        <f t="shared" si="3"/>
        <v>006C</v>
      </c>
      <c r="D112" t="s">
        <v>130</v>
      </c>
    </row>
    <row r="113" spans="1:4" ht="15" customHeight="1" x14ac:dyDescent="0.25">
      <c r="A113">
        <v>109</v>
      </c>
      <c r="B113" t="str">
        <f t="shared" si="2"/>
        <v>1101101</v>
      </c>
      <c r="C113" t="str">
        <f t="shared" si="3"/>
        <v>006D</v>
      </c>
      <c r="D113" t="s">
        <v>130</v>
      </c>
    </row>
    <row r="114" spans="1:4" ht="15" customHeight="1" x14ac:dyDescent="0.25">
      <c r="A114">
        <v>110</v>
      </c>
      <c r="B114" t="str">
        <f t="shared" si="2"/>
        <v>1101110</v>
      </c>
      <c r="C114" t="str">
        <f t="shared" si="3"/>
        <v>006E</v>
      </c>
      <c r="D114" t="s">
        <v>130</v>
      </c>
    </row>
    <row r="115" spans="1:4" ht="15" customHeight="1" x14ac:dyDescent="0.25">
      <c r="A115">
        <v>111</v>
      </c>
      <c r="B115" t="str">
        <f t="shared" si="2"/>
        <v>1101111</v>
      </c>
      <c r="C115" t="str">
        <f t="shared" si="3"/>
        <v>006F</v>
      </c>
      <c r="D115" t="s">
        <v>130</v>
      </c>
    </row>
    <row r="116" spans="1:4" ht="15" customHeight="1" x14ac:dyDescent="0.25">
      <c r="A116">
        <v>112</v>
      </c>
      <c r="B116" t="str">
        <f t="shared" si="2"/>
        <v>1110000</v>
      </c>
      <c r="C116" t="str">
        <f t="shared" si="3"/>
        <v>0070</v>
      </c>
      <c r="D116" t="s">
        <v>130</v>
      </c>
    </row>
    <row r="117" spans="1:4" ht="15" customHeight="1" x14ac:dyDescent="0.25">
      <c r="A117">
        <v>113</v>
      </c>
      <c r="B117" t="str">
        <f t="shared" si="2"/>
        <v>1110001</v>
      </c>
      <c r="C117" t="str">
        <f t="shared" si="3"/>
        <v>0071</v>
      </c>
      <c r="D117" t="s">
        <v>130</v>
      </c>
    </row>
    <row r="118" spans="1:4" ht="15" customHeight="1" x14ac:dyDescent="0.25">
      <c r="A118">
        <v>114</v>
      </c>
      <c r="B118" t="str">
        <f t="shared" si="2"/>
        <v>1110010</v>
      </c>
      <c r="C118" t="str">
        <f t="shared" si="3"/>
        <v>0072</v>
      </c>
      <c r="D118" t="s">
        <v>130</v>
      </c>
    </row>
    <row r="119" spans="1:4" ht="15" customHeight="1" x14ac:dyDescent="0.25">
      <c r="A119">
        <v>115</v>
      </c>
      <c r="B119" t="str">
        <f t="shared" si="2"/>
        <v>1110011</v>
      </c>
      <c r="C119" t="str">
        <f t="shared" si="3"/>
        <v>0073</v>
      </c>
      <c r="D119" t="s">
        <v>130</v>
      </c>
    </row>
    <row r="120" spans="1:4" ht="15" customHeight="1" x14ac:dyDescent="0.25">
      <c r="A120">
        <v>116</v>
      </c>
      <c r="B120" t="str">
        <f t="shared" si="2"/>
        <v>1110100</v>
      </c>
      <c r="C120" t="str">
        <f t="shared" si="3"/>
        <v>0074</v>
      </c>
      <c r="D120" t="s">
        <v>130</v>
      </c>
    </row>
    <row r="121" spans="1:4" ht="15" customHeight="1" x14ac:dyDescent="0.25">
      <c r="A121">
        <v>117</v>
      </c>
      <c r="B121" t="str">
        <f t="shared" si="2"/>
        <v>1110101</v>
      </c>
      <c r="C121" t="str">
        <f t="shared" si="3"/>
        <v>0075</v>
      </c>
      <c r="D121" t="s">
        <v>130</v>
      </c>
    </row>
    <row r="122" spans="1:4" ht="15" customHeight="1" x14ac:dyDescent="0.25">
      <c r="A122">
        <v>118</v>
      </c>
      <c r="B122" t="str">
        <f t="shared" si="2"/>
        <v>1110110</v>
      </c>
      <c r="C122" t="str">
        <f t="shared" si="3"/>
        <v>0076</v>
      </c>
      <c r="D122" t="s">
        <v>130</v>
      </c>
    </row>
    <row r="123" spans="1:4" ht="15" customHeight="1" x14ac:dyDescent="0.25">
      <c r="A123">
        <v>119</v>
      </c>
      <c r="B123" t="str">
        <f t="shared" si="2"/>
        <v>1110111</v>
      </c>
      <c r="C123" t="str">
        <f t="shared" si="3"/>
        <v>0077</v>
      </c>
      <c r="D123" t="s">
        <v>130</v>
      </c>
    </row>
    <row r="124" spans="1:4" ht="15" customHeight="1" x14ac:dyDescent="0.25">
      <c r="A124">
        <v>120</v>
      </c>
      <c r="B124" t="str">
        <f t="shared" si="2"/>
        <v>1111000</v>
      </c>
      <c r="C124" t="str">
        <f t="shared" si="3"/>
        <v>0078</v>
      </c>
      <c r="D124" t="s">
        <v>130</v>
      </c>
    </row>
    <row r="125" spans="1:4" ht="15" customHeight="1" x14ac:dyDescent="0.25">
      <c r="A125">
        <v>121</v>
      </c>
      <c r="B125" t="str">
        <f t="shared" si="2"/>
        <v>1111001</v>
      </c>
      <c r="C125" t="str">
        <f t="shared" si="3"/>
        <v>0079</v>
      </c>
      <c r="D125" t="s">
        <v>130</v>
      </c>
    </row>
    <row r="126" spans="1:4" ht="15" customHeight="1" x14ac:dyDescent="0.25">
      <c r="A126">
        <v>122</v>
      </c>
      <c r="B126" t="str">
        <f t="shared" si="2"/>
        <v>1111010</v>
      </c>
      <c r="C126" t="str">
        <f t="shared" si="3"/>
        <v>007A</v>
      </c>
      <c r="D126" t="s">
        <v>130</v>
      </c>
    </row>
    <row r="127" spans="1:4" ht="15" customHeight="1" x14ac:dyDescent="0.25">
      <c r="A127">
        <v>123</v>
      </c>
      <c r="B127" t="str">
        <f t="shared" si="2"/>
        <v>1111011</v>
      </c>
      <c r="C127" t="str">
        <f t="shared" si="3"/>
        <v>007B</v>
      </c>
      <c r="D127" t="s">
        <v>130</v>
      </c>
    </row>
    <row r="128" spans="1:4" ht="15" customHeight="1" x14ac:dyDescent="0.25">
      <c r="A128">
        <v>124</v>
      </c>
      <c r="B128" t="str">
        <f t="shared" si="2"/>
        <v>1111100</v>
      </c>
      <c r="C128" t="str">
        <f t="shared" si="3"/>
        <v>007C</v>
      </c>
      <c r="D128" t="s">
        <v>130</v>
      </c>
    </row>
    <row r="129" spans="1:9" ht="15" customHeight="1" x14ac:dyDescent="0.25">
      <c r="A129">
        <v>125</v>
      </c>
      <c r="B129" t="str">
        <f t="shared" si="2"/>
        <v>1111101</v>
      </c>
      <c r="C129" t="str">
        <f t="shared" si="3"/>
        <v>007D</v>
      </c>
      <c r="D129" t="s">
        <v>130</v>
      </c>
    </row>
    <row r="130" spans="1:9" ht="15" customHeight="1" x14ac:dyDescent="0.25">
      <c r="A130">
        <v>126</v>
      </c>
      <c r="B130" t="str">
        <f t="shared" si="2"/>
        <v>1111110</v>
      </c>
      <c r="C130" t="str">
        <f t="shared" si="3"/>
        <v>007E</v>
      </c>
      <c r="D130" t="s">
        <v>130</v>
      </c>
    </row>
    <row r="131" spans="1:9" ht="15" customHeight="1" x14ac:dyDescent="0.25">
      <c r="A131">
        <v>127</v>
      </c>
      <c r="B131" t="str">
        <f t="shared" si="2"/>
        <v>1111111</v>
      </c>
      <c r="C131" t="str">
        <f t="shared" si="3"/>
        <v>007F</v>
      </c>
      <c r="D131" t="s">
        <v>130</v>
      </c>
    </row>
    <row r="132" spans="1:9" ht="15" customHeight="1" x14ac:dyDescent="0.25">
      <c r="A132">
        <v>128</v>
      </c>
      <c r="B132" t="str">
        <f t="shared" si="2"/>
        <v>10000000</v>
      </c>
      <c r="C132" t="str">
        <f t="shared" si="3"/>
        <v>0080</v>
      </c>
      <c r="D132" s="28" t="s">
        <v>341</v>
      </c>
      <c r="E132" s="9" t="s">
        <v>444</v>
      </c>
      <c r="F132" s="27" t="s">
        <v>445</v>
      </c>
      <c r="G132" s="28" t="s">
        <v>446</v>
      </c>
      <c r="H132">
        <v>10</v>
      </c>
      <c r="I132" s="28" t="s">
        <v>447</v>
      </c>
    </row>
    <row r="133" spans="1:9" ht="15" customHeight="1" x14ac:dyDescent="0.25">
      <c r="A133">
        <v>129</v>
      </c>
      <c r="B133" t="str">
        <f t="shared" si="2"/>
        <v>10000001</v>
      </c>
      <c r="C133" t="str">
        <f t="shared" si="3"/>
        <v>0081</v>
      </c>
      <c r="D133" s="28" t="s">
        <v>341</v>
      </c>
      <c r="E133" s="9" t="s">
        <v>448</v>
      </c>
      <c r="F133" s="28" t="s">
        <v>449</v>
      </c>
      <c r="H133">
        <v>10</v>
      </c>
      <c r="I133" s="28" t="s">
        <v>447</v>
      </c>
    </row>
    <row r="134" spans="1:9" ht="15" customHeight="1" x14ac:dyDescent="0.25">
      <c r="A134">
        <v>130</v>
      </c>
      <c r="B134" t="str">
        <f t="shared" ref="B134:B197" si="4">DEC2BIN(A134)</f>
        <v>10000010</v>
      </c>
      <c r="C134" t="str">
        <f t="shared" ref="C134:C197" si="5">DEC2HEX(HEX2DEC("0001")+ROW(A130)-1,4)</f>
        <v>0082</v>
      </c>
      <c r="D134" s="28" t="s">
        <v>341</v>
      </c>
      <c r="E134" s="11" t="s">
        <v>281</v>
      </c>
      <c r="F134" s="29" t="s">
        <v>84</v>
      </c>
      <c r="G134" s="8" t="s">
        <v>543</v>
      </c>
      <c r="H134" s="7">
        <v>100</v>
      </c>
      <c r="I134" s="9" t="s">
        <v>399</v>
      </c>
    </row>
    <row r="135" spans="1:9" ht="15" customHeight="1" x14ac:dyDescent="0.25">
      <c r="A135">
        <v>131</v>
      </c>
      <c r="B135" t="str">
        <f t="shared" si="4"/>
        <v>10000011</v>
      </c>
      <c r="C135" t="str">
        <f t="shared" si="5"/>
        <v>0083</v>
      </c>
      <c r="D135" s="28" t="s">
        <v>341</v>
      </c>
      <c r="E135" s="11" t="s">
        <v>553</v>
      </c>
      <c r="F135" s="29" t="s">
        <v>86</v>
      </c>
      <c r="G135" s="8"/>
      <c r="H135" s="7">
        <v>100</v>
      </c>
      <c r="I135" s="9" t="s">
        <v>399</v>
      </c>
    </row>
    <row r="136" spans="1:9" ht="15" customHeight="1" x14ac:dyDescent="0.25">
      <c r="A136">
        <v>132</v>
      </c>
      <c r="B136" t="str">
        <f t="shared" si="4"/>
        <v>10000100</v>
      </c>
      <c r="C136" t="str">
        <f t="shared" si="5"/>
        <v>0084</v>
      </c>
      <c r="D136" s="28" t="s">
        <v>341</v>
      </c>
      <c r="E136" s="11" t="s">
        <v>554</v>
      </c>
      <c r="F136" s="29" t="s">
        <v>88</v>
      </c>
      <c r="G136" s="8"/>
      <c r="H136" s="7">
        <v>10</v>
      </c>
      <c r="I136" s="9" t="s">
        <v>399</v>
      </c>
    </row>
    <row r="137" spans="1:9" ht="15" customHeight="1" x14ac:dyDescent="0.25">
      <c r="A137">
        <v>133</v>
      </c>
      <c r="B137" t="str">
        <f t="shared" si="4"/>
        <v>10000101</v>
      </c>
      <c r="C137" t="str">
        <f t="shared" si="5"/>
        <v>0085</v>
      </c>
      <c r="D137" s="28" t="s">
        <v>341</v>
      </c>
      <c r="E137" s="11" t="s">
        <v>561</v>
      </c>
      <c r="H137" s="7">
        <v>100</v>
      </c>
      <c r="I137" s="9" t="s">
        <v>399</v>
      </c>
    </row>
    <row r="138" spans="1:9" ht="15" customHeight="1" x14ac:dyDescent="0.25">
      <c r="A138">
        <v>134</v>
      </c>
      <c r="B138" t="str">
        <f t="shared" si="4"/>
        <v>10000110</v>
      </c>
      <c r="C138" t="str">
        <f t="shared" si="5"/>
        <v>0086</v>
      </c>
      <c r="D138" s="28" t="s">
        <v>341</v>
      </c>
      <c r="E138" s="42" t="s">
        <v>562</v>
      </c>
      <c r="F138" s="29" t="s">
        <v>563</v>
      </c>
      <c r="H138" s="7">
        <v>100</v>
      </c>
      <c r="I138" s="9" t="s">
        <v>399</v>
      </c>
    </row>
    <row r="139" spans="1:9" ht="15" customHeight="1" x14ac:dyDescent="0.25">
      <c r="A139">
        <v>135</v>
      </c>
      <c r="B139" t="str">
        <f t="shared" si="4"/>
        <v>10000111</v>
      </c>
      <c r="C139" t="str">
        <f t="shared" si="5"/>
        <v>0087</v>
      </c>
      <c r="D139" s="28" t="s">
        <v>341</v>
      </c>
      <c r="E139" s="11"/>
      <c r="F139" s="29"/>
      <c r="G139" s="8"/>
      <c r="H139" s="7">
        <v>10</v>
      </c>
      <c r="I139" s="9" t="s">
        <v>399</v>
      </c>
    </row>
    <row r="140" spans="1:9" ht="15" customHeight="1" x14ac:dyDescent="0.25">
      <c r="A140">
        <v>136</v>
      </c>
      <c r="B140" t="str">
        <f t="shared" si="4"/>
        <v>10001000</v>
      </c>
      <c r="C140" t="str">
        <f t="shared" si="5"/>
        <v>0088</v>
      </c>
      <c r="D140" s="28" t="s">
        <v>341</v>
      </c>
      <c r="E140" s="11"/>
      <c r="F140" s="29"/>
      <c r="G140" s="8"/>
    </row>
    <row r="141" spans="1:9" ht="15" customHeight="1" x14ac:dyDescent="0.25">
      <c r="A141">
        <v>137</v>
      </c>
      <c r="B141" t="str">
        <f t="shared" si="4"/>
        <v>10001001</v>
      </c>
      <c r="C141" t="str">
        <f t="shared" si="5"/>
        <v>0089</v>
      </c>
      <c r="D141" s="28" t="s">
        <v>341</v>
      </c>
      <c r="E141" s="11"/>
      <c r="F141" s="29"/>
      <c r="G141" s="8"/>
    </row>
    <row r="142" spans="1:9" ht="15" customHeight="1" x14ac:dyDescent="0.25">
      <c r="A142">
        <v>138</v>
      </c>
      <c r="B142" t="str">
        <f t="shared" si="4"/>
        <v>10001010</v>
      </c>
      <c r="C142" t="str">
        <f t="shared" si="5"/>
        <v>008A</v>
      </c>
      <c r="D142" s="28" t="s">
        <v>341</v>
      </c>
    </row>
    <row r="143" spans="1:9" ht="15" customHeight="1" x14ac:dyDescent="0.25">
      <c r="A143">
        <v>139</v>
      </c>
      <c r="B143" t="str">
        <f t="shared" si="4"/>
        <v>10001011</v>
      </c>
      <c r="C143" t="str">
        <f t="shared" si="5"/>
        <v>008B</v>
      </c>
      <c r="D143" s="28" t="s">
        <v>341</v>
      </c>
    </row>
    <row r="144" spans="1:9" ht="15" customHeight="1" x14ac:dyDescent="0.25">
      <c r="A144">
        <v>140</v>
      </c>
      <c r="B144" t="str">
        <f t="shared" si="4"/>
        <v>10001100</v>
      </c>
      <c r="C144" t="str">
        <f t="shared" si="5"/>
        <v>008C</v>
      </c>
      <c r="D144" s="28" t="s">
        <v>341</v>
      </c>
    </row>
    <row r="145" spans="1:5" ht="15" customHeight="1" x14ac:dyDescent="0.25">
      <c r="A145">
        <v>141</v>
      </c>
      <c r="B145" t="str">
        <f t="shared" si="4"/>
        <v>10001101</v>
      </c>
      <c r="C145" t="str">
        <f t="shared" si="5"/>
        <v>008D</v>
      </c>
      <c r="D145" s="28" t="s">
        <v>341</v>
      </c>
    </row>
    <row r="146" spans="1:5" ht="15" customHeight="1" x14ac:dyDescent="0.25">
      <c r="A146">
        <v>142</v>
      </c>
      <c r="B146" t="str">
        <f t="shared" si="4"/>
        <v>10001110</v>
      </c>
      <c r="C146" t="str">
        <f t="shared" si="5"/>
        <v>008E</v>
      </c>
      <c r="D146" s="28" t="s">
        <v>341</v>
      </c>
    </row>
    <row r="147" spans="1:5" ht="15" customHeight="1" x14ac:dyDescent="0.25">
      <c r="A147">
        <v>143</v>
      </c>
      <c r="B147" t="str">
        <f t="shared" si="4"/>
        <v>10001111</v>
      </c>
      <c r="C147" t="str">
        <f t="shared" si="5"/>
        <v>008F</v>
      </c>
      <c r="D147" s="28" t="s">
        <v>341</v>
      </c>
    </row>
    <row r="148" spans="1:5" ht="15" customHeight="1" x14ac:dyDescent="0.25">
      <c r="A148">
        <v>144</v>
      </c>
      <c r="B148" t="str">
        <f t="shared" si="4"/>
        <v>10010000</v>
      </c>
      <c r="C148" t="str">
        <f t="shared" si="5"/>
        <v>0090</v>
      </c>
      <c r="D148" s="28" t="s">
        <v>341</v>
      </c>
    </row>
    <row r="149" spans="1:5" ht="15" customHeight="1" x14ac:dyDescent="0.25">
      <c r="A149">
        <v>145</v>
      </c>
      <c r="B149" t="str">
        <f t="shared" si="4"/>
        <v>10010001</v>
      </c>
      <c r="C149" t="str">
        <f t="shared" si="5"/>
        <v>0091</v>
      </c>
      <c r="D149" s="28" t="s">
        <v>341</v>
      </c>
    </row>
    <row r="150" spans="1:5" ht="15" customHeight="1" x14ac:dyDescent="0.25">
      <c r="A150">
        <v>146</v>
      </c>
      <c r="B150" t="str">
        <f t="shared" si="4"/>
        <v>10010010</v>
      </c>
      <c r="C150" t="str">
        <f t="shared" si="5"/>
        <v>0092</v>
      </c>
      <c r="D150" s="28" t="s">
        <v>341</v>
      </c>
      <c r="E150" s="28" t="s">
        <v>564</v>
      </c>
    </row>
    <row r="151" spans="1:5" ht="15" customHeight="1" x14ac:dyDescent="0.25">
      <c r="A151">
        <v>147</v>
      </c>
      <c r="B151" t="str">
        <f t="shared" si="4"/>
        <v>10010011</v>
      </c>
      <c r="C151" t="str">
        <f t="shared" si="5"/>
        <v>0093</v>
      </c>
      <c r="D151" s="28" t="s">
        <v>341</v>
      </c>
      <c r="E151" s="28" t="s">
        <v>565</v>
      </c>
    </row>
    <row r="152" spans="1:5" ht="15" customHeight="1" x14ac:dyDescent="0.25">
      <c r="A152">
        <v>148</v>
      </c>
      <c r="B152" t="str">
        <f t="shared" si="4"/>
        <v>10010100</v>
      </c>
      <c r="C152" t="str">
        <f t="shared" si="5"/>
        <v>0094</v>
      </c>
      <c r="D152" s="28" t="s">
        <v>341</v>
      </c>
      <c r="E152" s="28" t="s">
        <v>566</v>
      </c>
    </row>
    <row r="153" spans="1:5" ht="15" customHeight="1" x14ac:dyDescent="0.25">
      <c r="A153">
        <v>149</v>
      </c>
      <c r="B153" t="str">
        <f t="shared" si="4"/>
        <v>10010101</v>
      </c>
      <c r="C153" t="str">
        <f t="shared" si="5"/>
        <v>0095</v>
      </c>
      <c r="D153" s="28" t="s">
        <v>341</v>
      </c>
      <c r="E153" s="28" t="s">
        <v>567</v>
      </c>
    </row>
    <row r="154" spans="1:5" ht="15" customHeight="1" x14ac:dyDescent="0.25">
      <c r="A154">
        <v>150</v>
      </c>
      <c r="B154" t="str">
        <f t="shared" si="4"/>
        <v>10010110</v>
      </c>
      <c r="C154" t="str">
        <f t="shared" si="5"/>
        <v>0096</v>
      </c>
      <c r="D154" s="28" t="s">
        <v>341</v>
      </c>
      <c r="E154" s="28" t="s">
        <v>568</v>
      </c>
    </row>
    <row r="155" spans="1:5" ht="15" customHeight="1" x14ac:dyDescent="0.25">
      <c r="A155">
        <v>151</v>
      </c>
      <c r="B155" t="str">
        <f t="shared" si="4"/>
        <v>10010111</v>
      </c>
      <c r="C155" t="str">
        <f t="shared" si="5"/>
        <v>0097</v>
      </c>
      <c r="D155" s="28" t="s">
        <v>341</v>
      </c>
      <c r="E155" s="28" t="s">
        <v>471</v>
      </c>
    </row>
    <row r="156" spans="1:5" ht="15" customHeight="1" x14ac:dyDescent="0.25">
      <c r="A156">
        <v>152</v>
      </c>
      <c r="B156" t="str">
        <f t="shared" si="4"/>
        <v>10011000</v>
      </c>
      <c r="C156" t="str">
        <f t="shared" si="5"/>
        <v>0098</v>
      </c>
      <c r="D156" s="28" t="s">
        <v>341</v>
      </c>
      <c r="E156" s="28" t="s">
        <v>569</v>
      </c>
    </row>
    <row r="157" spans="1:5" ht="15" customHeight="1" x14ac:dyDescent="0.25">
      <c r="A157">
        <v>153</v>
      </c>
      <c r="B157" t="str">
        <f t="shared" si="4"/>
        <v>10011001</v>
      </c>
      <c r="C157" t="str">
        <f t="shared" si="5"/>
        <v>0099</v>
      </c>
      <c r="D157" s="28" t="s">
        <v>341</v>
      </c>
      <c r="E157" s="28" t="s">
        <v>570</v>
      </c>
    </row>
    <row r="158" spans="1:5" ht="15" customHeight="1" x14ac:dyDescent="0.25">
      <c r="A158">
        <v>154</v>
      </c>
      <c r="B158" t="str">
        <f t="shared" si="4"/>
        <v>10011010</v>
      </c>
      <c r="C158" t="str">
        <f t="shared" si="5"/>
        <v>009A</v>
      </c>
      <c r="D158" s="28" t="s">
        <v>341</v>
      </c>
    </row>
    <row r="159" spans="1:5" ht="15" customHeight="1" x14ac:dyDescent="0.25">
      <c r="A159">
        <v>155</v>
      </c>
      <c r="B159" t="str">
        <f t="shared" si="4"/>
        <v>10011011</v>
      </c>
      <c r="C159" t="str">
        <f t="shared" si="5"/>
        <v>009B</v>
      </c>
      <c r="D159" s="28" t="s">
        <v>341</v>
      </c>
    </row>
    <row r="160" spans="1:5" ht="15" customHeight="1" x14ac:dyDescent="0.25">
      <c r="A160">
        <v>156</v>
      </c>
      <c r="B160" t="str">
        <f t="shared" si="4"/>
        <v>10011100</v>
      </c>
      <c r="C160" t="str">
        <f t="shared" si="5"/>
        <v>009C</v>
      </c>
      <c r="D160" s="28" t="s">
        <v>341</v>
      </c>
    </row>
    <row r="161" spans="1:7" ht="15" customHeight="1" x14ac:dyDescent="0.25">
      <c r="A161">
        <v>157</v>
      </c>
      <c r="B161" t="str">
        <f t="shared" si="4"/>
        <v>10011101</v>
      </c>
      <c r="C161" t="str">
        <f t="shared" si="5"/>
        <v>009D</v>
      </c>
      <c r="D161" s="28" t="s">
        <v>341</v>
      </c>
    </row>
    <row r="162" spans="1:7" ht="15" customHeight="1" x14ac:dyDescent="0.25">
      <c r="A162">
        <v>158</v>
      </c>
      <c r="B162" t="str">
        <f t="shared" si="4"/>
        <v>10011110</v>
      </c>
      <c r="C162" t="str">
        <f t="shared" si="5"/>
        <v>009E</v>
      </c>
      <c r="D162" s="28" t="s">
        <v>341</v>
      </c>
    </row>
    <row r="163" spans="1:7" ht="15" customHeight="1" x14ac:dyDescent="0.25">
      <c r="A163">
        <v>159</v>
      </c>
      <c r="B163" t="str">
        <f t="shared" si="4"/>
        <v>10011111</v>
      </c>
      <c r="C163" t="str">
        <f t="shared" si="5"/>
        <v>009F</v>
      </c>
      <c r="D163" s="28" t="s">
        <v>341</v>
      </c>
    </row>
    <row r="164" spans="1:7" ht="15" customHeight="1" x14ac:dyDescent="0.25">
      <c r="A164">
        <v>160</v>
      </c>
      <c r="B164" t="str">
        <f t="shared" si="4"/>
        <v>10100000</v>
      </c>
      <c r="C164" t="str">
        <f t="shared" si="5"/>
        <v>00A0</v>
      </c>
      <c r="D164" s="28" t="s">
        <v>341</v>
      </c>
      <c r="E164" s="28" t="s">
        <v>571</v>
      </c>
      <c r="F164" s="28" t="s">
        <v>563</v>
      </c>
      <c r="G164" s="28" t="s">
        <v>544</v>
      </c>
    </row>
    <row r="165" spans="1:7" ht="15" customHeight="1" x14ac:dyDescent="0.5">
      <c r="A165">
        <v>161</v>
      </c>
      <c r="B165" t="str">
        <f t="shared" si="4"/>
        <v>10100001</v>
      </c>
      <c r="C165" t="str">
        <f t="shared" si="5"/>
        <v>00A1</v>
      </c>
      <c r="D165" s="28" t="s">
        <v>341</v>
      </c>
      <c r="E165" s="28" t="s">
        <v>555</v>
      </c>
      <c r="F165" s="64" t="s">
        <v>573</v>
      </c>
    </row>
    <row r="166" spans="1:7" ht="15" customHeight="1" x14ac:dyDescent="0.45">
      <c r="A166">
        <v>162</v>
      </c>
      <c r="B166" t="str">
        <f t="shared" si="4"/>
        <v>10100010</v>
      </c>
      <c r="C166" t="str">
        <f t="shared" si="5"/>
        <v>00A2</v>
      </c>
      <c r="D166" s="28" t="s">
        <v>341</v>
      </c>
      <c r="E166" s="28" t="s">
        <v>556</v>
      </c>
      <c r="F166" s="28" t="s">
        <v>574</v>
      </c>
    </row>
    <row r="167" spans="1:7" ht="15" customHeight="1" x14ac:dyDescent="0.3">
      <c r="A167">
        <v>163</v>
      </c>
      <c r="B167" t="str">
        <f t="shared" si="4"/>
        <v>10100011</v>
      </c>
      <c r="C167" t="str">
        <f t="shared" si="5"/>
        <v>00A3</v>
      </c>
      <c r="D167" s="28" t="s">
        <v>341</v>
      </c>
      <c r="E167" s="28" t="s">
        <v>572</v>
      </c>
      <c r="F167" s="65" t="s">
        <v>575</v>
      </c>
    </row>
    <row r="168" spans="1:7" ht="15" customHeight="1" x14ac:dyDescent="0.25">
      <c r="A168">
        <v>164</v>
      </c>
      <c r="B168" t="str">
        <f t="shared" si="4"/>
        <v>10100100</v>
      </c>
      <c r="C168" t="str">
        <f t="shared" si="5"/>
        <v>00A4</v>
      </c>
      <c r="D168" s="28" t="s">
        <v>341</v>
      </c>
    </row>
    <row r="169" spans="1:7" ht="15" customHeight="1" x14ac:dyDescent="0.25">
      <c r="A169">
        <v>165</v>
      </c>
      <c r="B169" t="str">
        <f t="shared" si="4"/>
        <v>10100101</v>
      </c>
      <c r="C169" t="str">
        <f t="shared" si="5"/>
        <v>00A5</v>
      </c>
      <c r="D169" s="28" t="s">
        <v>341</v>
      </c>
    </row>
    <row r="170" spans="1:7" ht="15" customHeight="1" x14ac:dyDescent="0.25">
      <c r="A170">
        <v>166</v>
      </c>
      <c r="B170" t="str">
        <f t="shared" si="4"/>
        <v>10100110</v>
      </c>
      <c r="C170" t="str">
        <f t="shared" si="5"/>
        <v>00A6</v>
      </c>
      <c r="D170" s="28" t="s">
        <v>341</v>
      </c>
    </row>
    <row r="171" spans="1:7" ht="15" customHeight="1" x14ac:dyDescent="0.25">
      <c r="A171">
        <v>167</v>
      </c>
      <c r="B171" t="str">
        <f t="shared" si="4"/>
        <v>10100111</v>
      </c>
      <c r="C171" t="str">
        <f t="shared" si="5"/>
        <v>00A7</v>
      </c>
      <c r="D171" s="28" t="s">
        <v>341</v>
      </c>
    </row>
    <row r="172" spans="1:7" ht="15" customHeight="1" x14ac:dyDescent="0.25">
      <c r="A172">
        <v>168</v>
      </c>
      <c r="B172" t="str">
        <f t="shared" si="4"/>
        <v>10101000</v>
      </c>
      <c r="C172" t="str">
        <f t="shared" si="5"/>
        <v>00A8</v>
      </c>
      <c r="D172" s="28" t="s">
        <v>341</v>
      </c>
    </row>
    <row r="173" spans="1:7" ht="15" customHeight="1" x14ac:dyDescent="0.25">
      <c r="A173">
        <v>169</v>
      </c>
      <c r="B173" t="str">
        <f t="shared" si="4"/>
        <v>10101001</v>
      </c>
      <c r="C173" t="str">
        <f t="shared" si="5"/>
        <v>00A9</v>
      </c>
      <c r="D173" s="28" t="s">
        <v>341</v>
      </c>
    </row>
    <row r="174" spans="1:7" ht="15" customHeight="1" x14ac:dyDescent="0.25">
      <c r="A174">
        <v>170</v>
      </c>
      <c r="B174" t="str">
        <f t="shared" si="4"/>
        <v>10101010</v>
      </c>
      <c r="C174" t="str">
        <f t="shared" si="5"/>
        <v>00AA</v>
      </c>
      <c r="D174" s="28" t="s">
        <v>341</v>
      </c>
    </row>
    <row r="175" spans="1:7" ht="15" customHeight="1" x14ac:dyDescent="0.25">
      <c r="A175">
        <v>171</v>
      </c>
      <c r="B175" t="str">
        <f t="shared" si="4"/>
        <v>10101011</v>
      </c>
      <c r="C175" t="str">
        <f t="shared" si="5"/>
        <v>00AB</v>
      </c>
      <c r="D175" s="28" t="s">
        <v>341</v>
      </c>
    </row>
    <row r="176" spans="1:7" ht="15" customHeight="1" x14ac:dyDescent="0.25">
      <c r="A176">
        <v>172</v>
      </c>
      <c r="B176" t="str">
        <f t="shared" si="4"/>
        <v>10101100</v>
      </c>
      <c r="C176" t="str">
        <f t="shared" si="5"/>
        <v>00AC</v>
      </c>
      <c r="D176" s="28" t="s">
        <v>341</v>
      </c>
    </row>
    <row r="177" spans="1:4" ht="15" customHeight="1" x14ac:dyDescent="0.25">
      <c r="A177">
        <v>173</v>
      </c>
      <c r="B177" t="str">
        <f t="shared" si="4"/>
        <v>10101101</v>
      </c>
      <c r="C177" t="str">
        <f t="shared" si="5"/>
        <v>00AD</v>
      </c>
      <c r="D177" s="28" t="s">
        <v>341</v>
      </c>
    </row>
    <row r="178" spans="1:4" ht="15" customHeight="1" x14ac:dyDescent="0.25">
      <c r="A178">
        <v>174</v>
      </c>
      <c r="B178" t="str">
        <f t="shared" si="4"/>
        <v>10101110</v>
      </c>
      <c r="C178" t="str">
        <f t="shared" si="5"/>
        <v>00AE</v>
      </c>
      <c r="D178" s="28" t="s">
        <v>341</v>
      </c>
    </row>
    <row r="179" spans="1:4" ht="15" customHeight="1" x14ac:dyDescent="0.25">
      <c r="A179">
        <v>175</v>
      </c>
      <c r="B179" t="str">
        <f t="shared" si="4"/>
        <v>10101111</v>
      </c>
      <c r="C179" t="str">
        <f t="shared" si="5"/>
        <v>00AF</v>
      </c>
      <c r="D179" s="28" t="s">
        <v>341</v>
      </c>
    </row>
    <row r="180" spans="1:4" ht="15" customHeight="1" x14ac:dyDescent="0.25">
      <c r="A180">
        <v>176</v>
      </c>
      <c r="B180" t="str">
        <f t="shared" si="4"/>
        <v>10110000</v>
      </c>
      <c r="C180" t="str">
        <f t="shared" si="5"/>
        <v>00B0</v>
      </c>
      <c r="D180" s="28" t="s">
        <v>341</v>
      </c>
    </row>
    <row r="181" spans="1:4" ht="15" customHeight="1" x14ac:dyDescent="0.25">
      <c r="A181">
        <v>177</v>
      </c>
      <c r="B181" t="str">
        <f t="shared" si="4"/>
        <v>10110001</v>
      </c>
      <c r="C181" t="str">
        <f t="shared" si="5"/>
        <v>00B1</v>
      </c>
      <c r="D181" s="28" t="s">
        <v>341</v>
      </c>
    </row>
    <row r="182" spans="1:4" ht="15" customHeight="1" x14ac:dyDescent="0.25">
      <c r="A182">
        <v>178</v>
      </c>
      <c r="B182" t="str">
        <f t="shared" si="4"/>
        <v>10110010</v>
      </c>
      <c r="C182" t="str">
        <f t="shared" si="5"/>
        <v>00B2</v>
      </c>
      <c r="D182" s="28" t="s">
        <v>341</v>
      </c>
    </row>
    <row r="183" spans="1:4" ht="15" customHeight="1" x14ac:dyDescent="0.25">
      <c r="A183">
        <v>179</v>
      </c>
      <c r="B183" t="str">
        <f t="shared" si="4"/>
        <v>10110011</v>
      </c>
      <c r="C183" t="str">
        <f t="shared" si="5"/>
        <v>00B3</v>
      </c>
      <c r="D183" s="28" t="s">
        <v>341</v>
      </c>
    </row>
    <row r="184" spans="1:4" ht="15" customHeight="1" x14ac:dyDescent="0.25">
      <c r="A184">
        <v>180</v>
      </c>
      <c r="B184" t="str">
        <f t="shared" si="4"/>
        <v>10110100</v>
      </c>
      <c r="C184" t="str">
        <f t="shared" si="5"/>
        <v>00B4</v>
      </c>
      <c r="D184" s="28" t="s">
        <v>341</v>
      </c>
    </row>
    <row r="185" spans="1:4" ht="15" customHeight="1" x14ac:dyDescent="0.25">
      <c r="A185">
        <v>181</v>
      </c>
      <c r="B185" t="str">
        <f t="shared" si="4"/>
        <v>10110101</v>
      </c>
      <c r="C185" t="str">
        <f t="shared" si="5"/>
        <v>00B5</v>
      </c>
      <c r="D185" s="28" t="s">
        <v>341</v>
      </c>
    </row>
    <row r="186" spans="1:4" ht="15" customHeight="1" x14ac:dyDescent="0.25">
      <c r="A186">
        <v>182</v>
      </c>
      <c r="B186" t="str">
        <f t="shared" si="4"/>
        <v>10110110</v>
      </c>
      <c r="C186" t="str">
        <f t="shared" si="5"/>
        <v>00B6</v>
      </c>
      <c r="D186" s="28" t="s">
        <v>341</v>
      </c>
    </row>
    <row r="187" spans="1:4" ht="15" customHeight="1" x14ac:dyDescent="0.25">
      <c r="A187">
        <v>183</v>
      </c>
      <c r="B187" t="str">
        <f t="shared" si="4"/>
        <v>10110111</v>
      </c>
      <c r="C187" t="str">
        <f t="shared" si="5"/>
        <v>00B7</v>
      </c>
      <c r="D187" s="28" t="s">
        <v>341</v>
      </c>
    </row>
    <row r="188" spans="1:4" ht="15" customHeight="1" x14ac:dyDescent="0.25">
      <c r="A188">
        <v>184</v>
      </c>
      <c r="B188" t="str">
        <f t="shared" si="4"/>
        <v>10111000</v>
      </c>
      <c r="C188" t="str">
        <f t="shared" si="5"/>
        <v>00B8</v>
      </c>
      <c r="D188" s="28" t="s">
        <v>341</v>
      </c>
    </row>
    <row r="189" spans="1:4" ht="15" customHeight="1" x14ac:dyDescent="0.25">
      <c r="A189">
        <v>185</v>
      </c>
      <c r="B189" t="str">
        <f t="shared" si="4"/>
        <v>10111001</v>
      </c>
      <c r="C189" t="str">
        <f t="shared" si="5"/>
        <v>00B9</v>
      </c>
      <c r="D189" s="28" t="s">
        <v>341</v>
      </c>
    </row>
    <row r="190" spans="1:4" ht="15" customHeight="1" x14ac:dyDescent="0.25">
      <c r="A190">
        <v>186</v>
      </c>
      <c r="B190" t="str">
        <f t="shared" si="4"/>
        <v>10111010</v>
      </c>
      <c r="C190" t="str">
        <f t="shared" si="5"/>
        <v>00BA</v>
      </c>
      <c r="D190" s="28" t="s">
        <v>341</v>
      </c>
    </row>
    <row r="191" spans="1:4" ht="15" customHeight="1" x14ac:dyDescent="0.25">
      <c r="A191">
        <v>187</v>
      </c>
      <c r="B191" t="str">
        <f t="shared" si="4"/>
        <v>10111011</v>
      </c>
      <c r="C191" t="str">
        <f t="shared" si="5"/>
        <v>00BB</v>
      </c>
      <c r="D191" s="28" t="s">
        <v>341</v>
      </c>
    </row>
    <row r="192" spans="1:4" ht="15" customHeight="1" x14ac:dyDescent="0.25">
      <c r="A192">
        <v>188</v>
      </c>
      <c r="B192" t="str">
        <f t="shared" si="4"/>
        <v>10111100</v>
      </c>
      <c r="C192" t="str">
        <f t="shared" si="5"/>
        <v>00BC</v>
      </c>
      <c r="D192" s="28" t="s">
        <v>341</v>
      </c>
    </row>
    <row r="193" spans="1:9" ht="15" customHeight="1" x14ac:dyDescent="0.25">
      <c r="A193">
        <v>189</v>
      </c>
      <c r="B193" t="str">
        <f t="shared" si="4"/>
        <v>10111101</v>
      </c>
      <c r="C193" t="str">
        <f t="shared" si="5"/>
        <v>00BD</v>
      </c>
      <c r="D193" s="28" t="s">
        <v>341</v>
      </c>
    </row>
    <row r="194" spans="1:9" ht="15" customHeight="1" x14ac:dyDescent="0.25">
      <c r="A194">
        <v>190</v>
      </c>
      <c r="B194" t="str">
        <f t="shared" si="4"/>
        <v>10111110</v>
      </c>
      <c r="C194" t="str">
        <f t="shared" si="5"/>
        <v>00BE</v>
      </c>
      <c r="D194" s="28" t="s">
        <v>341</v>
      </c>
    </row>
    <row r="195" spans="1:9" ht="15" customHeight="1" x14ac:dyDescent="0.25">
      <c r="A195">
        <v>191</v>
      </c>
      <c r="B195" t="str">
        <f t="shared" si="4"/>
        <v>10111111</v>
      </c>
      <c r="C195" t="str">
        <f t="shared" si="5"/>
        <v>00BF</v>
      </c>
      <c r="D195" s="28" t="s">
        <v>341</v>
      </c>
    </row>
    <row r="196" spans="1:9" ht="15" customHeight="1" x14ac:dyDescent="0.25">
      <c r="A196">
        <v>192</v>
      </c>
      <c r="B196" t="str">
        <f t="shared" si="4"/>
        <v>11000000</v>
      </c>
      <c r="C196" t="str">
        <f t="shared" si="5"/>
        <v>00C0</v>
      </c>
      <c r="D196" s="28" t="s">
        <v>307</v>
      </c>
      <c r="E196" s="8" t="s">
        <v>177</v>
      </c>
      <c r="F196" s="8" t="s">
        <v>101</v>
      </c>
      <c r="G196" s="8" t="s">
        <v>451</v>
      </c>
      <c r="H196" s="7">
        <v>100</v>
      </c>
      <c r="I196" s="9" t="s">
        <v>399</v>
      </c>
    </row>
    <row r="197" spans="1:9" ht="15" customHeight="1" x14ac:dyDescent="0.25">
      <c r="A197">
        <v>193</v>
      </c>
      <c r="B197" t="str">
        <f t="shared" si="4"/>
        <v>11000001</v>
      </c>
      <c r="C197" t="str">
        <f t="shared" si="5"/>
        <v>00C1</v>
      </c>
      <c r="D197" s="28" t="s">
        <v>307</v>
      </c>
      <c r="E197" s="8" t="s">
        <v>180</v>
      </c>
      <c r="F197" s="8" t="s">
        <v>104</v>
      </c>
      <c r="G197" s="8"/>
      <c r="H197" s="7">
        <v>10</v>
      </c>
      <c r="I197" s="9" t="s">
        <v>399</v>
      </c>
    </row>
    <row r="198" spans="1:9" ht="15" customHeight="1" x14ac:dyDescent="0.25">
      <c r="A198">
        <v>194</v>
      </c>
      <c r="B198" t="str">
        <f t="shared" ref="B198:B259" si="6">DEC2BIN(A198)</f>
        <v>11000010</v>
      </c>
      <c r="C198" t="str">
        <f t="shared" ref="C198:C259" si="7">DEC2HEX(HEX2DEC("0001")+ROW(A194)-1,4)</f>
        <v>00C2</v>
      </c>
      <c r="D198" s="28" t="s">
        <v>138</v>
      </c>
      <c r="E198" s="8" t="s">
        <v>182</v>
      </c>
      <c r="F198" s="8" t="s">
        <v>106</v>
      </c>
      <c r="G198" s="8"/>
      <c r="H198" s="7">
        <v>10</v>
      </c>
      <c r="I198" s="9" t="s">
        <v>399</v>
      </c>
    </row>
    <row r="199" spans="1:9" ht="15" customHeight="1" x14ac:dyDescent="0.25">
      <c r="A199">
        <v>195</v>
      </c>
      <c r="B199" t="str">
        <f t="shared" si="6"/>
        <v>11000011</v>
      </c>
      <c r="C199" t="str">
        <f t="shared" si="7"/>
        <v>00C3</v>
      </c>
      <c r="D199" s="28" t="s">
        <v>138</v>
      </c>
      <c r="E199" s="8" t="s">
        <v>184</v>
      </c>
      <c r="F199" s="8" t="s">
        <v>108</v>
      </c>
      <c r="G199" s="8"/>
      <c r="H199" s="7">
        <v>10</v>
      </c>
      <c r="I199" s="9" t="s">
        <v>399</v>
      </c>
    </row>
    <row r="200" spans="1:9" ht="15" customHeight="1" x14ac:dyDescent="0.25">
      <c r="A200">
        <v>196</v>
      </c>
      <c r="B200" t="str">
        <f t="shared" si="6"/>
        <v>11000100</v>
      </c>
      <c r="C200" t="str">
        <f t="shared" si="7"/>
        <v>00C4</v>
      </c>
      <c r="D200" s="28" t="s">
        <v>138</v>
      </c>
      <c r="E200" s="8" t="s">
        <v>178</v>
      </c>
      <c r="F200" s="8" t="s">
        <v>101</v>
      </c>
      <c r="G200" s="8" t="s">
        <v>451</v>
      </c>
      <c r="H200" s="7">
        <v>100</v>
      </c>
      <c r="I200" s="9" t="s">
        <v>399</v>
      </c>
    </row>
    <row r="201" spans="1:9" ht="15" customHeight="1" x14ac:dyDescent="0.25">
      <c r="A201">
        <v>197</v>
      </c>
      <c r="B201" t="str">
        <f t="shared" si="6"/>
        <v>11000101</v>
      </c>
      <c r="C201" t="str">
        <f t="shared" si="7"/>
        <v>00C5</v>
      </c>
      <c r="D201" s="28" t="s">
        <v>138</v>
      </c>
      <c r="E201" s="8" t="s">
        <v>181</v>
      </c>
      <c r="F201" s="8" t="s">
        <v>104</v>
      </c>
      <c r="G201" s="8"/>
      <c r="H201" s="7">
        <v>10</v>
      </c>
      <c r="I201" s="9" t="s">
        <v>399</v>
      </c>
    </row>
    <row r="202" spans="1:9" ht="15" customHeight="1" x14ac:dyDescent="0.25">
      <c r="A202">
        <v>198</v>
      </c>
      <c r="B202" t="str">
        <f t="shared" si="6"/>
        <v>11000110</v>
      </c>
      <c r="C202" t="str">
        <f t="shared" si="7"/>
        <v>00C6</v>
      </c>
      <c r="D202" s="28" t="s">
        <v>138</v>
      </c>
      <c r="E202" s="8" t="s">
        <v>183</v>
      </c>
      <c r="F202" s="8" t="s">
        <v>106</v>
      </c>
      <c r="G202" s="8"/>
      <c r="H202" s="7">
        <v>10</v>
      </c>
      <c r="I202" s="9" t="s">
        <v>399</v>
      </c>
    </row>
    <row r="203" spans="1:9" ht="15" customHeight="1" x14ac:dyDescent="0.25">
      <c r="A203">
        <v>199</v>
      </c>
      <c r="B203" t="str">
        <f t="shared" si="6"/>
        <v>11000111</v>
      </c>
      <c r="C203" t="str">
        <f t="shared" si="7"/>
        <v>00C7</v>
      </c>
      <c r="D203" s="28" t="s">
        <v>138</v>
      </c>
      <c r="E203" s="8" t="s">
        <v>185</v>
      </c>
      <c r="F203" s="8" t="s">
        <v>108</v>
      </c>
      <c r="G203" s="8"/>
      <c r="H203" s="7">
        <v>10</v>
      </c>
      <c r="I203" s="9" t="s">
        <v>399</v>
      </c>
    </row>
    <row r="204" spans="1:9" ht="15" customHeight="1" x14ac:dyDescent="0.25">
      <c r="A204">
        <v>200</v>
      </c>
      <c r="B204" t="str">
        <f t="shared" si="6"/>
        <v>11001000</v>
      </c>
      <c r="C204" t="str">
        <f t="shared" si="7"/>
        <v>00C8</v>
      </c>
      <c r="D204" s="28" t="s">
        <v>138</v>
      </c>
    </row>
    <row r="205" spans="1:9" ht="15" customHeight="1" x14ac:dyDescent="0.25">
      <c r="A205">
        <v>201</v>
      </c>
      <c r="B205" t="str">
        <f t="shared" si="6"/>
        <v>11001001</v>
      </c>
      <c r="C205" t="str">
        <f t="shared" si="7"/>
        <v>00C9</v>
      </c>
      <c r="D205" s="28" t="s">
        <v>138</v>
      </c>
    </row>
    <row r="206" spans="1:9" ht="15" customHeight="1" x14ac:dyDescent="0.25">
      <c r="A206">
        <v>202</v>
      </c>
      <c r="B206" t="str">
        <f t="shared" si="6"/>
        <v>11001010</v>
      </c>
      <c r="C206" t="str">
        <f t="shared" si="7"/>
        <v>00CA</v>
      </c>
      <c r="D206" s="28" t="s">
        <v>138</v>
      </c>
    </row>
    <row r="207" spans="1:9" ht="15" customHeight="1" x14ac:dyDescent="0.25">
      <c r="A207">
        <v>203</v>
      </c>
      <c r="B207" t="str">
        <f t="shared" si="6"/>
        <v>11001011</v>
      </c>
      <c r="C207" t="str">
        <f t="shared" si="7"/>
        <v>00CB</v>
      </c>
      <c r="D207" s="28" t="s">
        <v>138</v>
      </c>
    </row>
    <row r="208" spans="1:9" ht="15" customHeight="1" x14ac:dyDescent="0.25">
      <c r="A208">
        <v>204</v>
      </c>
      <c r="B208" t="str">
        <f t="shared" si="6"/>
        <v>11001100</v>
      </c>
      <c r="C208" t="str">
        <f t="shared" si="7"/>
        <v>00CC</v>
      </c>
      <c r="D208" s="28" t="s">
        <v>138</v>
      </c>
    </row>
    <row r="209" spans="1:4" ht="15" customHeight="1" x14ac:dyDescent="0.25">
      <c r="A209">
        <v>205</v>
      </c>
      <c r="B209" t="str">
        <f t="shared" si="6"/>
        <v>11001101</v>
      </c>
      <c r="C209" t="str">
        <f t="shared" si="7"/>
        <v>00CD</v>
      </c>
      <c r="D209" s="28" t="s">
        <v>138</v>
      </c>
    </row>
    <row r="210" spans="1:4" ht="15" customHeight="1" x14ac:dyDescent="0.25">
      <c r="A210">
        <v>206</v>
      </c>
      <c r="B210" t="str">
        <f t="shared" si="6"/>
        <v>11001110</v>
      </c>
      <c r="C210" t="str">
        <f t="shared" si="7"/>
        <v>00CE</v>
      </c>
      <c r="D210" s="28" t="s">
        <v>138</v>
      </c>
    </row>
    <row r="211" spans="1:4" ht="15" customHeight="1" x14ac:dyDescent="0.25">
      <c r="A211">
        <v>207</v>
      </c>
      <c r="B211" t="str">
        <f t="shared" si="6"/>
        <v>11001111</v>
      </c>
      <c r="C211" t="str">
        <f t="shared" si="7"/>
        <v>00CF</v>
      </c>
      <c r="D211" s="28" t="s">
        <v>138</v>
      </c>
    </row>
    <row r="212" spans="1:4" ht="15" customHeight="1" x14ac:dyDescent="0.25">
      <c r="A212">
        <v>208</v>
      </c>
      <c r="B212" t="str">
        <f t="shared" si="6"/>
        <v>11010000</v>
      </c>
      <c r="C212" t="str">
        <f t="shared" si="7"/>
        <v>00D0</v>
      </c>
      <c r="D212" s="28" t="s">
        <v>138</v>
      </c>
    </row>
    <row r="213" spans="1:4" ht="15" customHeight="1" x14ac:dyDescent="0.25">
      <c r="A213">
        <v>209</v>
      </c>
      <c r="B213" t="str">
        <f t="shared" si="6"/>
        <v>11010001</v>
      </c>
      <c r="C213" t="str">
        <f t="shared" si="7"/>
        <v>00D1</v>
      </c>
      <c r="D213" s="28" t="s">
        <v>138</v>
      </c>
    </row>
    <row r="214" spans="1:4" ht="15" customHeight="1" x14ac:dyDescent="0.25">
      <c r="A214">
        <v>210</v>
      </c>
      <c r="B214" t="str">
        <f t="shared" si="6"/>
        <v>11010010</v>
      </c>
      <c r="C214" t="str">
        <f t="shared" si="7"/>
        <v>00D2</v>
      </c>
      <c r="D214" s="28" t="s">
        <v>138</v>
      </c>
    </row>
    <row r="215" spans="1:4" ht="15" customHeight="1" x14ac:dyDescent="0.25">
      <c r="A215">
        <v>211</v>
      </c>
      <c r="B215" t="str">
        <f t="shared" si="6"/>
        <v>11010011</v>
      </c>
      <c r="C215" t="str">
        <f t="shared" si="7"/>
        <v>00D3</v>
      </c>
      <c r="D215" s="28" t="s">
        <v>138</v>
      </c>
    </row>
    <row r="216" spans="1:4" ht="15" customHeight="1" x14ac:dyDescent="0.25">
      <c r="A216">
        <v>212</v>
      </c>
      <c r="B216" t="str">
        <f t="shared" si="6"/>
        <v>11010100</v>
      </c>
      <c r="C216" t="str">
        <f t="shared" si="7"/>
        <v>00D4</v>
      </c>
      <c r="D216" s="28" t="s">
        <v>138</v>
      </c>
    </row>
    <row r="217" spans="1:4" ht="15" customHeight="1" x14ac:dyDescent="0.25">
      <c r="A217">
        <v>213</v>
      </c>
      <c r="B217" t="str">
        <f t="shared" si="6"/>
        <v>11010101</v>
      </c>
      <c r="C217" t="str">
        <f t="shared" si="7"/>
        <v>00D5</v>
      </c>
      <c r="D217" s="28" t="s">
        <v>138</v>
      </c>
    </row>
    <row r="218" spans="1:4" ht="15" customHeight="1" x14ac:dyDescent="0.25">
      <c r="A218">
        <v>214</v>
      </c>
      <c r="B218" t="str">
        <f t="shared" si="6"/>
        <v>11010110</v>
      </c>
      <c r="C218" t="str">
        <f t="shared" si="7"/>
        <v>00D6</v>
      </c>
      <c r="D218" s="28" t="s">
        <v>138</v>
      </c>
    </row>
    <row r="219" spans="1:4" ht="15" customHeight="1" x14ac:dyDescent="0.25">
      <c r="A219">
        <v>215</v>
      </c>
      <c r="B219" t="str">
        <f t="shared" si="6"/>
        <v>11010111</v>
      </c>
      <c r="C219" t="str">
        <f t="shared" si="7"/>
        <v>00D7</v>
      </c>
      <c r="D219" s="28" t="s">
        <v>138</v>
      </c>
    </row>
    <row r="220" spans="1:4" ht="15" customHeight="1" x14ac:dyDescent="0.25">
      <c r="A220">
        <v>216</v>
      </c>
      <c r="B220" t="str">
        <f t="shared" si="6"/>
        <v>11011000</v>
      </c>
      <c r="C220" t="str">
        <f t="shared" si="7"/>
        <v>00D8</v>
      </c>
      <c r="D220" s="28" t="s">
        <v>138</v>
      </c>
    </row>
    <row r="221" spans="1:4" ht="15" customHeight="1" x14ac:dyDescent="0.25">
      <c r="A221">
        <v>217</v>
      </c>
      <c r="B221" t="str">
        <f t="shared" si="6"/>
        <v>11011001</v>
      </c>
      <c r="C221" t="str">
        <f t="shared" si="7"/>
        <v>00D9</v>
      </c>
      <c r="D221" s="28" t="s">
        <v>138</v>
      </c>
    </row>
    <row r="222" spans="1:4" ht="15" customHeight="1" x14ac:dyDescent="0.25">
      <c r="A222">
        <v>218</v>
      </c>
      <c r="B222" t="str">
        <f t="shared" si="6"/>
        <v>11011010</v>
      </c>
      <c r="C222" t="str">
        <f t="shared" si="7"/>
        <v>00DA</v>
      </c>
      <c r="D222" s="28" t="s">
        <v>138</v>
      </c>
    </row>
    <row r="223" spans="1:4" ht="15" customHeight="1" x14ac:dyDescent="0.25">
      <c r="A223">
        <v>219</v>
      </c>
      <c r="B223" t="str">
        <f t="shared" si="6"/>
        <v>11011011</v>
      </c>
      <c r="C223" t="str">
        <f t="shared" si="7"/>
        <v>00DB</v>
      </c>
      <c r="D223" s="28" t="s">
        <v>138</v>
      </c>
    </row>
    <row r="224" spans="1:4" ht="15" customHeight="1" x14ac:dyDescent="0.25">
      <c r="A224">
        <v>220</v>
      </c>
      <c r="B224" t="str">
        <f t="shared" si="6"/>
        <v>11011100</v>
      </c>
      <c r="C224" t="str">
        <f t="shared" si="7"/>
        <v>00DC</v>
      </c>
      <c r="D224" s="28" t="s">
        <v>138</v>
      </c>
    </row>
    <row r="225" spans="1:4" ht="15" customHeight="1" x14ac:dyDescent="0.25">
      <c r="A225">
        <v>221</v>
      </c>
      <c r="B225" t="str">
        <f t="shared" si="6"/>
        <v>11011101</v>
      </c>
      <c r="C225" t="str">
        <f t="shared" si="7"/>
        <v>00DD</v>
      </c>
      <c r="D225" s="28" t="s">
        <v>138</v>
      </c>
    </row>
    <row r="226" spans="1:4" ht="15" customHeight="1" x14ac:dyDescent="0.25">
      <c r="A226">
        <v>222</v>
      </c>
      <c r="B226" t="str">
        <f t="shared" si="6"/>
        <v>11011110</v>
      </c>
      <c r="C226" t="str">
        <f t="shared" si="7"/>
        <v>00DE</v>
      </c>
      <c r="D226" s="28" t="s">
        <v>138</v>
      </c>
    </row>
    <row r="227" spans="1:4" ht="15" customHeight="1" x14ac:dyDescent="0.25">
      <c r="A227">
        <v>223</v>
      </c>
      <c r="B227" t="str">
        <f t="shared" si="6"/>
        <v>11011111</v>
      </c>
      <c r="C227" t="str">
        <f t="shared" si="7"/>
        <v>00DF</v>
      </c>
      <c r="D227" s="28" t="s">
        <v>138</v>
      </c>
    </row>
    <row r="228" spans="1:4" ht="15" customHeight="1" x14ac:dyDescent="0.25">
      <c r="A228">
        <v>224</v>
      </c>
      <c r="B228" t="str">
        <f t="shared" si="6"/>
        <v>11100000</v>
      </c>
      <c r="C228" t="str">
        <f t="shared" si="7"/>
        <v>00E0</v>
      </c>
      <c r="D228" s="28" t="s">
        <v>138</v>
      </c>
    </row>
    <row r="229" spans="1:4" ht="15" customHeight="1" x14ac:dyDescent="0.25">
      <c r="A229">
        <v>225</v>
      </c>
      <c r="B229" t="str">
        <f t="shared" si="6"/>
        <v>11100001</v>
      </c>
      <c r="C229" t="str">
        <f t="shared" si="7"/>
        <v>00E1</v>
      </c>
      <c r="D229" s="28" t="s">
        <v>138</v>
      </c>
    </row>
    <row r="230" spans="1:4" ht="15" customHeight="1" x14ac:dyDescent="0.25">
      <c r="A230">
        <v>226</v>
      </c>
      <c r="B230" t="str">
        <f t="shared" si="6"/>
        <v>11100010</v>
      </c>
      <c r="C230" t="str">
        <f t="shared" si="7"/>
        <v>00E2</v>
      </c>
      <c r="D230" s="28" t="s">
        <v>138</v>
      </c>
    </row>
    <row r="231" spans="1:4" ht="15" customHeight="1" x14ac:dyDescent="0.25">
      <c r="A231">
        <v>227</v>
      </c>
      <c r="B231" t="str">
        <f t="shared" si="6"/>
        <v>11100011</v>
      </c>
      <c r="C231" t="str">
        <f t="shared" si="7"/>
        <v>00E3</v>
      </c>
      <c r="D231" s="28" t="s">
        <v>138</v>
      </c>
    </row>
    <row r="232" spans="1:4" ht="15" customHeight="1" x14ac:dyDescent="0.25">
      <c r="A232">
        <v>228</v>
      </c>
      <c r="B232" t="str">
        <f t="shared" si="6"/>
        <v>11100100</v>
      </c>
      <c r="C232" t="str">
        <f t="shared" si="7"/>
        <v>00E4</v>
      </c>
      <c r="D232" s="28" t="s">
        <v>138</v>
      </c>
    </row>
    <row r="233" spans="1:4" ht="15" customHeight="1" x14ac:dyDescent="0.25">
      <c r="A233">
        <v>229</v>
      </c>
      <c r="B233" t="str">
        <f t="shared" si="6"/>
        <v>11100101</v>
      </c>
      <c r="C233" t="str">
        <f t="shared" si="7"/>
        <v>00E5</v>
      </c>
      <c r="D233" s="28" t="s">
        <v>138</v>
      </c>
    </row>
    <row r="234" spans="1:4" ht="15" customHeight="1" x14ac:dyDescent="0.25">
      <c r="A234">
        <v>230</v>
      </c>
      <c r="B234" t="str">
        <f t="shared" si="6"/>
        <v>11100110</v>
      </c>
      <c r="C234" t="str">
        <f t="shared" si="7"/>
        <v>00E6</v>
      </c>
      <c r="D234" s="28" t="s">
        <v>138</v>
      </c>
    </row>
    <row r="235" spans="1:4" ht="15" customHeight="1" x14ac:dyDescent="0.25">
      <c r="A235">
        <v>231</v>
      </c>
      <c r="B235" t="str">
        <f t="shared" si="6"/>
        <v>11100111</v>
      </c>
      <c r="C235" t="str">
        <f t="shared" si="7"/>
        <v>00E7</v>
      </c>
      <c r="D235" s="28" t="s">
        <v>138</v>
      </c>
    </row>
    <row r="236" spans="1:4" ht="15" customHeight="1" x14ac:dyDescent="0.25">
      <c r="A236">
        <v>232</v>
      </c>
      <c r="B236" t="str">
        <f t="shared" si="6"/>
        <v>11101000</v>
      </c>
      <c r="C236" t="str">
        <f t="shared" si="7"/>
        <v>00E8</v>
      </c>
      <c r="D236" s="28" t="s">
        <v>138</v>
      </c>
    </row>
    <row r="237" spans="1:4" ht="15" customHeight="1" x14ac:dyDescent="0.25">
      <c r="A237">
        <v>233</v>
      </c>
      <c r="B237" t="str">
        <f t="shared" si="6"/>
        <v>11101001</v>
      </c>
      <c r="C237" t="str">
        <f t="shared" si="7"/>
        <v>00E9</v>
      </c>
      <c r="D237" s="28" t="s">
        <v>138</v>
      </c>
    </row>
    <row r="238" spans="1:4" ht="15" customHeight="1" x14ac:dyDescent="0.25">
      <c r="A238">
        <v>234</v>
      </c>
      <c r="B238" t="str">
        <f t="shared" si="6"/>
        <v>11101010</v>
      </c>
      <c r="C238" t="str">
        <f t="shared" si="7"/>
        <v>00EA</v>
      </c>
      <c r="D238" s="28" t="s">
        <v>138</v>
      </c>
    </row>
    <row r="239" spans="1:4" ht="15" customHeight="1" x14ac:dyDescent="0.25">
      <c r="A239">
        <v>235</v>
      </c>
      <c r="B239" t="str">
        <f t="shared" si="6"/>
        <v>11101011</v>
      </c>
      <c r="C239" t="str">
        <f t="shared" si="7"/>
        <v>00EB</v>
      </c>
      <c r="D239" s="28" t="s">
        <v>138</v>
      </c>
    </row>
    <row r="240" spans="1:4" ht="15" customHeight="1" x14ac:dyDescent="0.25">
      <c r="A240">
        <v>236</v>
      </c>
      <c r="B240" t="str">
        <f t="shared" si="6"/>
        <v>11101100</v>
      </c>
      <c r="C240" t="str">
        <f t="shared" si="7"/>
        <v>00EC</v>
      </c>
      <c r="D240" s="28" t="s">
        <v>138</v>
      </c>
    </row>
    <row r="241" spans="1:4" ht="15" customHeight="1" x14ac:dyDescent="0.25">
      <c r="A241">
        <v>237</v>
      </c>
      <c r="B241" t="str">
        <f t="shared" si="6"/>
        <v>11101101</v>
      </c>
      <c r="C241" t="str">
        <f t="shared" si="7"/>
        <v>00ED</v>
      </c>
      <c r="D241" s="28" t="s">
        <v>138</v>
      </c>
    </row>
    <row r="242" spans="1:4" ht="15" customHeight="1" x14ac:dyDescent="0.25">
      <c r="A242">
        <v>238</v>
      </c>
      <c r="B242" t="str">
        <f t="shared" si="6"/>
        <v>11101110</v>
      </c>
      <c r="C242" t="str">
        <f t="shared" si="7"/>
        <v>00EE</v>
      </c>
      <c r="D242" s="28" t="s">
        <v>138</v>
      </c>
    </row>
    <row r="243" spans="1:4" ht="15" customHeight="1" x14ac:dyDescent="0.25">
      <c r="A243">
        <v>239</v>
      </c>
      <c r="B243" t="str">
        <f t="shared" si="6"/>
        <v>11101111</v>
      </c>
      <c r="C243" t="str">
        <f t="shared" si="7"/>
        <v>00EF</v>
      </c>
      <c r="D243" s="28" t="s">
        <v>138</v>
      </c>
    </row>
    <row r="244" spans="1:4" ht="15" customHeight="1" x14ac:dyDescent="0.25">
      <c r="A244">
        <v>240</v>
      </c>
      <c r="B244" t="str">
        <f t="shared" si="6"/>
        <v>11110000</v>
      </c>
      <c r="C244" t="str">
        <f t="shared" si="7"/>
        <v>00F0</v>
      </c>
      <c r="D244" s="28" t="s">
        <v>138</v>
      </c>
    </row>
    <row r="245" spans="1:4" ht="15" customHeight="1" x14ac:dyDescent="0.25">
      <c r="A245">
        <v>241</v>
      </c>
      <c r="B245" t="str">
        <f t="shared" si="6"/>
        <v>11110001</v>
      </c>
      <c r="C245" t="str">
        <f t="shared" si="7"/>
        <v>00F1</v>
      </c>
      <c r="D245" s="28" t="s">
        <v>138</v>
      </c>
    </row>
    <row r="246" spans="1:4" ht="15" customHeight="1" x14ac:dyDescent="0.25">
      <c r="A246">
        <v>242</v>
      </c>
      <c r="B246" t="str">
        <f t="shared" si="6"/>
        <v>11110010</v>
      </c>
      <c r="C246" t="str">
        <f t="shared" si="7"/>
        <v>00F2</v>
      </c>
      <c r="D246" s="28" t="s">
        <v>138</v>
      </c>
    </row>
    <row r="247" spans="1:4" ht="15" customHeight="1" x14ac:dyDescent="0.25">
      <c r="A247">
        <v>243</v>
      </c>
      <c r="B247" t="str">
        <f t="shared" si="6"/>
        <v>11110011</v>
      </c>
      <c r="C247" t="str">
        <f t="shared" si="7"/>
        <v>00F3</v>
      </c>
      <c r="D247" s="28" t="s">
        <v>138</v>
      </c>
    </row>
    <row r="248" spans="1:4" ht="15" customHeight="1" x14ac:dyDescent="0.25">
      <c r="A248">
        <v>244</v>
      </c>
      <c r="B248" t="str">
        <f t="shared" si="6"/>
        <v>11110100</v>
      </c>
      <c r="C248" t="str">
        <f t="shared" si="7"/>
        <v>00F4</v>
      </c>
      <c r="D248" s="28" t="s">
        <v>138</v>
      </c>
    </row>
    <row r="249" spans="1:4" ht="15" customHeight="1" x14ac:dyDescent="0.25">
      <c r="A249">
        <v>245</v>
      </c>
      <c r="B249" t="str">
        <f t="shared" si="6"/>
        <v>11110101</v>
      </c>
      <c r="C249" t="str">
        <f t="shared" si="7"/>
        <v>00F5</v>
      </c>
      <c r="D249" s="28" t="s">
        <v>138</v>
      </c>
    </row>
    <row r="250" spans="1:4" ht="15" customHeight="1" x14ac:dyDescent="0.25">
      <c r="A250">
        <v>246</v>
      </c>
      <c r="B250" t="str">
        <f t="shared" si="6"/>
        <v>11110110</v>
      </c>
      <c r="C250" t="str">
        <f t="shared" si="7"/>
        <v>00F6</v>
      </c>
      <c r="D250" s="28" t="s">
        <v>138</v>
      </c>
    </row>
    <row r="251" spans="1:4" ht="15" customHeight="1" x14ac:dyDescent="0.25">
      <c r="A251">
        <v>247</v>
      </c>
      <c r="B251" t="str">
        <f t="shared" si="6"/>
        <v>11110111</v>
      </c>
      <c r="C251" t="str">
        <f t="shared" si="7"/>
        <v>00F7</v>
      </c>
      <c r="D251" s="28" t="s">
        <v>138</v>
      </c>
    </row>
    <row r="252" spans="1:4" ht="15" customHeight="1" x14ac:dyDescent="0.25">
      <c r="A252">
        <v>248</v>
      </c>
      <c r="B252" t="str">
        <f t="shared" si="6"/>
        <v>11111000</v>
      </c>
      <c r="C252" t="str">
        <f t="shared" si="7"/>
        <v>00F8</v>
      </c>
      <c r="D252" s="28" t="s">
        <v>138</v>
      </c>
    </row>
    <row r="253" spans="1:4" ht="15" customHeight="1" x14ac:dyDescent="0.25">
      <c r="A253">
        <v>249</v>
      </c>
      <c r="B253" t="str">
        <f t="shared" si="6"/>
        <v>11111001</v>
      </c>
      <c r="C253" t="str">
        <f t="shared" si="7"/>
        <v>00F9</v>
      </c>
      <c r="D253" s="28" t="s">
        <v>138</v>
      </c>
    </row>
    <row r="254" spans="1:4" ht="15" customHeight="1" x14ac:dyDescent="0.25">
      <c r="A254">
        <v>250</v>
      </c>
      <c r="B254" t="str">
        <f t="shared" si="6"/>
        <v>11111010</v>
      </c>
      <c r="C254" t="str">
        <f t="shared" si="7"/>
        <v>00FA</v>
      </c>
      <c r="D254" s="28" t="s">
        <v>138</v>
      </c>
    </row>
    <row r="255" spans="1:4" ht="15" customHeight="1" x14ac:dyDescent="0.25">
      <c r="A255">
        <v>251</v>
      </c>
      <c r="B255" t="str">
        <f t="shared" si="6"/>
        <v>11111011</v>
      </c>
      <c r="C255" t="str">
        <f t="shared" si="7"/>
        <v>00FB</v>
      </c>
      <c r="D255" s="28" t="s">
        <v>138</v>
      </c>
    </row>
    <row r="256" spans="1:4" ht="15" customHeight="1" x14ac:dyDescent="0.25">
      <c r="A256">
        <v>252</v>
      </c>
      <c r="B256" t="str">
        <f t="shared" si="6"/>
        <v>11111100</v>
      </c>
      <c r="C256" t="str">
        <f t="shared" si="7"/>
        <v>00FC</v>
      </c>
      <c r="D256" s="28" t="s">
        <v>138</v>
      </c>
    </row>
    <row r="257" spans="1:4" ht="15" customHeight="1" x14ac:dyDescent="0.25">
      <c r="A257">
        <v>253</v>
      </c>
      <c r="B257" t="str">
        <f t="shared" si="6"/>
        <v>11111101</v>
      </c>
      <c r="C257" t="str">
        <f t="shared" si="7"/>
        <v>00FD</v>
      </c>
      <c r="D257" s="28" t="s">
        <v>138</v>
      </c>
    </row>
    <row r="258" spans="1:4" ht="15" customHeight="1" x14ac:dyDescent="0.25">
      <c r="A258">
        <v>254</v>
      </c>
      <c r="B258" t="str">
        <f t="shared" si="6"/>
        <v>11111110</v>
      </c>
      <c r="C258" t="str">
        <f t="shared" si="7"/>
        <v>00FE</v>
      </c>
      <c r="D258" s="28" t="s">
        <v>138</v>
      </c>
    </row>
    <row r="259" spans="1:4" ht="15" customHeight="1" x14ac:dyDescent="0.25">
      <c r="A259">
        <v>255</v>
      </c>
      <c r="B259" t="str">
        <f t="shared" si="6"/>
        <v>11111111</v>
      </c>
      <c r="C259" t="str">
        <f t="shared" si="7"/>
        <v>00FF</v>
      </c>
      <c r="D259" s="28" t="s">
        <v>138</v>
      </c>
    </row>
  </sheetData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02FB-3A63-4D61-895D-7273C035E213}">
  <dimension ref="A1:Y260"/>
  <sheetViews>
    <sheetView workbookViewId="0">
      <pane ySplit="4" topLeftCell="A5" activePane="bottomLeft" state="frozen"/>
      <selection pane="bottomLeft" activeCell="O27" sqref="O27"/>
    </sheetView>
  </sheetViews>
  <sheetFormatPr defaultRowHeight="12.5" x14ac:dyDescent="0.25"/>
  <cols>
    <col min="5" max="5" width="33.26953125" bestFit="1" customWidth="1"/>
    <col min="6" max="6" width="21.54296875" bestFit="1" customWidth="1"/>
    <col min="8" max="8" width="32" bestFit="1" customWidth="1"/>
    <col min="9" max="9" width="11.1796875" bestFit="1" customWidth="1"/>
    <col min="10" max="10" width="13.1796875" bestFit="1" customWidth="1"/>
    <col min="13" max="13" width="15.7265625" customWidth="1"/>
    <col min="15" max="15" width="13.7265625" customWidth="1"/>
  </cols>
  <sheetData>
    <row r="1" spans="1:25" x14ac:dyDescent="0.25">
      <c r="A1" s="6" t="s">
        <v>146</v>
      </c>
      <c r="B1" s="7"/>
      <c r="C1" s="6"/>
      <c r="D1" s="8"/>
      <c r="E1" s="8"/>
      <c r="F1" s="8"/>
      <c r="G1" s="8"/>
      <c r="H1" s="6"/>
      <c r="I1" s="8"/>
      <c r="J1" s="8"/>
    </row>
    <row r="2" spans="1:25" x14ac:dyDescent="0.25">
      <c r="A2" s="7"/>
      <c r="B2" s="7"/>
      <c r="C2" s="7"/>
      <c r="D2" s="8"/>
      <c r="E2" s="8"/>
      <c r="F2" s="8"/>
      <c r="G2" s="8"/>
      <c r="H2" s="6" t="s">
        <v>144</v>
      </c>
      <c r="I2" s="8"/>
      <c r="J2" s="8"/>
    </row>
    <row r="3" spans="1:25" x14ac:dyDescent="0.25">
      <c r="A3" s="6" t="s">
        <v>143</v>
      </c>
      <c r="B3" s="7"/>
      <c r="C3" s="7"/>
      <c r="D3" s="8"/>
      <c r="E3" s="8"/>
      <c r="F3" s="8"/>
      <c r="G3" s="8"/>
      <c r="H3" s="6" t="s">
        <v>0</v>
      </c>
      <c r="I3" s="8"/>
      <c r="J3" s="8"/>
    </row>
    <row r="4" spans="1:25" x14ac:dyDescent="0.25">
      <c r="A4" s="19" t="s">
        <v>1</v>
      </c>
      <c r="B4" s="19" t="s">
        <v>2</v>
      </c>
      <c r="C4" s="19" t="s">
        <v>3</v>
      </c>
      <c r="D4" s="20" t="s">
        <v>4</v>
      </c>
      <c r="E4" s="20" t="s">
        <v>5</v>
      </c>
      <c r="F4" s="20" t="s">
        <v>6</v>
      </c>
      <c r="G4" s="20" t="s">
        <v>141</v>
      </c>
      <c r="H4" s="19" t="s">
        <v>7</v>
      </c>
      <c r="I4" s="20" t="s">
        <v>8</v>
      </c>
      <c r="J4" s="20" t="s">
        <v>196</v>
      </c>
      <c r="L4" s="43" t="s">
        <v>478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5"/>
    </row>
    <row r="5" spans="1:25" x14ac:dyDescent="0.25">
      <c r="A5" s="7">
        <v>0</v>
      </c>
      <c r="B5" s="7">
        <f t="shared" ref="B5:B233" si="0">DEC2BIN(A5/512)*1000000000+DEC2BIN(MOD(A5,512))</f>
        <v>0</v>
      </c>
      <c r="C5" s="7" t="str">
        <f t="shared" ref="C5:C233" si="1">DEC2HEX(A5)</f>
        <v>0</v>
      </c>
      <c r="D5" s="8" t="str">
        <f t="shared" ref="D5:D37" si="2">IF(A5=0,"-", IF(A5&lt;1024,"文字列",IF(A5&lt;1280,"uint32_t",IF(A5&lt;1536,"uint16_t",IF(A5&lt;1792,"float","fp16")))))</f>
        <v>-</v>
      </c>
      <c r="E5" s="8"/>
      <c r="F5" s="8"/>
      <c r="G5" s="8"/>
      <c r="H5" s="7"/>
      <c r="I5" s="8"/>
      <c r="J5" s="8"/>
      <c r="L5" s="33">
        <v>0</v>
      </c>
      <c r="M5" s="28" t="s">
        <v>481</v>
      </c>
      <c r="N5" s="35">
        <v>30</v>
      </c>
      <c r="O5" s="28" t="s">
        <v>503</v>
      </c>
      <c r="P5" s="35">
        <v>60</v>
      </c>
      <c r="R5" s="35">
        <v>90</v>
      </c>
      <c r="T5" s="35">
        <v>120</v>
      </c>
      <c r="V5" s="35">
        <v>150</v>
      </c>
      <c r="X5" s="35">
        <v>180</v>
      </c>
      <c r="Y5" s="30"/>
    </row>
    <row r="6" spans="1:25" x14ac:dyDescent="0.25">
      <c r="A6" s="7">
        <v>1</v>
      </c>
      <c r="B6" s="7">
        <f t="shared" si="0"/>
        <v>1</v>
      </c>
      <c r="C6" s="7" t="str">
        <f t="shared" si="1"/>
        <v>1</v>
      </c>
      <c r="D6" s="8" t="str">
        <f t="shared" si="2"/>
        <v>文字列</v>
      </c>
      <c r="E6" s="8"/>
      <c r="F6" s="8"/>
      <c r="G6" s="8"/>
      <c r="H6" s="7"/>
      <c r="I6" s="8"/>
      <c r="J6" s="8"/>
      <c r="L6" s="33">
        <v>1</v>
      </c>
      <c r="M6" s="28" t="s">
        <v>479</v>
      </c>
      <c r="N6" s="35">
        <v>31</v>
      </c>
      <c r="O6" s="28" t="s">
        <v>506</v>
      </c>
      <c r="P6" s="35">
        <v>61</v>
      </c>
      <c r="R6" s="35">
        <v>91</v>
      </c>
      <c r="T6" s="35">
        <v>121</v>
      </c>
      <c r="V6" s="35">
        <v>151</v>
      </c>
      <c r="X6" s="35">
        <v>181</v>
      </c>
      <c r="Y6" s="30"/>
    </row>
    <row r="7" spans="1:25" x14ac:dyDescent="0.25">
      <c r="A7" s="7">
        <v>2</v>
      </c>
      <c r="B7" s="7">
        <f t="shared" si="0"/>
        <v>10</v>
      </c>
      <c r="C7" s="7" t="str">
        <f t="shared" si="1"/>
        <v>2</v>
      </c>
      <c r="D7" s="8" t="str">
        <f t="shared" si="2"/>
        <v>文字列</v>
      </c>
      <c r="E7" s="8" t="s">
        <v>463</v>
      </c>
      <c r="F7" s="8" t="s">
        <v>470</v>
      </c>
      <c r="G7" s="8"/>
      <c r="H7" s="7">
        <v>1</v>
      </c>
      <c r="I7" s="8"/>
      <c r="J7" s="8"/>
      <c r="L7" s="33">
        <v>2</v>
      </c>
      <c r="M7" s="28" t="s">
        <v>480</v>
      </c>
      <c r="N7" s="35">
        <v>32</v>
      </c>
      <c r="O7" s="28" t="s">
        <v>507</v>
      </c>
      <c r="P7" s="35">
        <v>62</v>
      </c>
      <c r="R7" s="35">
        <v>92</v>
      </c>
      <c r="T7" s="35">
        <v>122</v>
      </c>
      <c r="V7" s="35">
        <v>152</v>
      </c>
      <c r="X7" s="35">
        <v>182</v>
      </c>
      <c r="Y7" s="30"/>
    </row>
    <row r="8" spans="1:25" x14ac:dyDescent="0.25">
      <c r="A8" s="7">
        <v>3</v>
      </c>
      <c r="B8" s="7">
        <f t="shared" si="0"/>
        <v>11</v>
      </c>
      <c r="C8" s="7" t="str">
        <f t="shared" si="1"/>
        <v>3</v>
      </c>
      <c r="D8" s="8" t="str">
        <f t="shared" si="2"/>
        <v>文字列</v>
      </c>
      <c r="E8" s="8" t="s">
        <v>464</v>
      </c>
      <c r="F8" s="8" t="s">
        <v>470</v>
      </c>
      <c r="G8" s="8"/>
      <c r="H8" s="7">
        <v>1</v>
      </c>
      <c r="I8" s="8"/>
      <c r="J8" s="8"/>
      <c r="L8" s="33">
        <v>3</v>
      </c>
      <c r="M8" s="28" t="s">
        <v>482</v>
      </c>
      <c r="N8" s="35">
        <v>33</v>
      </c>
      <c r="O8" s="28" t="s">
        <v>508</v>
      </c>
      <c r="P8" s="35">
        <v>63</v>
      </c>
      <c r="R8" s="35">
        <v>93</v>
      </c>
      <c r="T8" s="35">
        <v>123</v>
      </c>
      <c r="V8" s="35">
        <v>153</v>
      </c>
      <c r="X8" s="35">
        <v>183</v>
      </c>
      <c r="Y8" s="30"/>
    </row>
    <row r="9" spans="1:25" x14ac:dyDescent="0.25">
      <c r="A9" s="7">
        <v>4</v>
      </c>
      <c r="B9" s="7">
        <f t="shared" si="0"/>
        <v>100</v>
      </c>
      <c r="C9" s="7" t="str">
        <f t="shared" si="1"/>
        <v>4</v>
      </c>
      <c r="D9" s="8" t="str">
        <f t="shared" si="2"/>
        <v>文字列</v>
      </c>
      <c r="E9" s="8" t="s">
        <v>465</v>
      </c>
      <c r="F9" s="8" t="s">
        <v>470</v>
      </c>
      <c r="G9" s="8"/>
      <c r="H9" s="7">
        <v>1</v>
      </c>
      <c r="I9" s="8"/>
      <c r="J9" s="8"/>
      <c r="L9" s="33">
        <v>4</v>
      </c>
      <c r="M9" s="28" t="s">
        <v>483</v>
      </c>
      <c r="N9" s="35">
        <v>34</v>
      </c>
      <c r="O9" s="28" t="s">
        <v>509</v>
      </c>
      <c r="P9" s="35">
        <v>64</v>
      </c>
      <c r="R9" s="35">
        <v>94</v>
      </c>
      <c r="T9" s="35">
        <v>124</v>
      </c>
      <c r="V9" s="35">
        <v>154</v>
      </c>
      <c r="X9" s="35">
        <v>184</v>
      </c>
      <c r="Y9" s="30"/>
    </row>
    <row r="10" spans="1:25" x14ac:dyDescent="0.25">
      <c r="A10" s="7">
        <v>5</v>
      </c>
      <c r="B10" s="7">
        <f t="shared" si="0"/>
        <v>101</v>
      </c>
      <c r="C10" s="7" t="str">
        <f t="shared" si="1"/>
        <v>5</v>
      </c>
      <c r="D10" s="8" t="str">
        <f t="shared" si="2"/>
        <v>文字列</v>
      </c>
      <c r="E10" s="8" t="s">
        <v>466</v>
      </c>
      <c r="F10" s="8" t="s">
        <v>470</v>
      </c>
      <c r="G10" s="8"/>
      <c r="H10" s="7">
        <v>1</v>
      </c>
      <c r="I10" s="8"/>
      <c r="J10" s="8"/>
      <c r="L10" s="33">
        <v>5</v>
      </c>
      <c r="M10" s="28" t="s">
        <v>484</v>
      </c>
      <c r="N10" s="35">
        <v>35</v>
      </c>
      <c r="O10" s="28" t="s">
        <v>511</v>
      </c>
      <c r="P10" s="35">
        <v>65</v>
      </c>
      <c r="R10" s="35">
        <v>95</v>
      </c>
      <c r="T10" s="35">
        <v>125</v>
      </c>
      <c r="V10" s="35">
        <v>155</v>
      </c>
      <c r="X10" s="35">
        <v>185</v>
      </c>
      <c r="Y10" s="30"/>
    </row>
    <row r="11" spans="1:25" x14ac:dyDescent="0.25">
      <c r="A11" s="7">
        <v>6</v>
      </c>
      <c r="B11" s="7">
        <f t="shared" si="0"/>
        <v>110</v>
      </c>
      <c r="C11" s="7" t="str">
        <f t="shared" si="1"/>
        <v>6</v>
      </c>
      <c r="D11" s="8" t="str">
        <f t="shared" si="2"/>
        <v>文字列</v>
      </c>
      <c r="E11" s="8" t="s">
        <v>467</v>
      </c>
      <c r="F11" s="8" t="s">
        <v>470</v>
      </c>
      <c r="G11" s="8"/>
      <c r="H11" s="7">
        <v>1</v>
      </c>
      <c r="I11" s="8"/>
      <c r="J11" s="8"/>
      <c r="L11" s="33">
        <v>6</v>
      </c>
      <c r="M11" s="28" t="s">
        <v>485</v>
      </c>
      <c r="N11" s="35">
        <v>36</v>
      </c>
      <c r="O11" s="28" t="s">
        <v>512</v>
      </c>
      <c r="P11" s="35">
        <v>66</v>
      </c>
      <c r="R11" s="35">
        <v>96</v>
      </c>
      <c r="T11" s="35">
        <v>126</v>
      </c>
      <c r="V11" s="35">
        <v>156</v>
      </c>
      <c r="X11" s="35">
        <v>186</v>
      </c>
      <c r="Y11" s="30"/>
    </row>
    <row r="12" spans="1:25" x14ac:dyDescent="0.25">
      <c r="A12" s="7">
        <v>7</v>
      </c>
      <c r="B12" s="7">
        <f t="shared" si="0"/>
        <v>111</v>
      </c>
      <c r="C12" s="7" t="str">
        <f t="shared" si="1"/>
        <v>7</v>
      </c>
      <c r="D12" s="8" t="str">
        <f t="shared" si="2"/>
        <v>文字列</v>
      </c>
      <c r="E12" s="8" t="s">
        <v>468</v>
      </c>
      <c r="F12" s="8" t="s">
        <v>470</v>
      </c>
      <c r="G12" s="8"/>
      <c r="H12" s="7">
        <v>1</v>
      </c>
      <c r="I12" s="8"/>
      <c r="J12" s="8"/>
      <c r="L12" s="33">
        <v>7</v>
      </c>
      <c r="M12" s="28" t="s">
        <v>486</v>
      </c>
      <c r="N12" s="35">
        <v>37</v>
      </c>
      <c r="O12" s="28" t="s">
        <v>513</v>
      </c>
      <c r="P12" s="35">
        <v>67</v>
      </c>
      <c r="R12" s="35">
        <v>97</v>
      </c>
      <c r="T12" s="35">
        <v>127</v>
      </c>
      <c r="V12" s="35">
        <v>157</v>
      </c>
      <c r="X12" s="35">
        <v>187</v>
      </c>
      <c r="Y12" s="30"/>
    </row>
    <row r="13" spans="1:25" x14ac:dyDescent="0.25">
      <c r="A13" s="7">
        <v>8</v>
      </c>
      <c r="B13" s="7">
        <f t="shared" si="0"/>
        <v>1000</v>
      </c>
      <c r="C13" s="7" t="str">
        <f t="shared" si="1"/>
        <v>8</v>
      </c>
      <c r="D13" s="8" t="str">
        <f t="shared" si="2"/>
        <v>文字列</v>
      </c>
      <c r="E13" s="8" t="s">
        <v>469</v>
      </c>
      <c r="F13" s="8" t="s">
        <v>470</v>
      </c>
      <c r="G13" s="8"/>
      <c r="H13" s="12">
        <v>1</v>
      </c>
      <c r="I13" s="8"/>
      <c r="J13" s="9"/>
      <c r="L13" s="33">
        <v>8</v>
      </c>
      <c r="M13" s="28" t="s">
        <v>487</v>
      </c>
      <c r="N13" s="35">
        <v>38</v>
      </c>
      <c r="O13" s="28" t="s">
        <v>510</v>
      </c>
      <c r="P13" s="35">
        <v>68</v>
      </c>
      <c r="R13" s="35">
        <v>98</v>
      </c>
      <c r="T13" s="35">
        <v>128</v>
      </c>
      <c r="V13" s="35">
        <v>158</v>
      </c>
      <c r="X13" s="35">
        <v>188</v>
      </c>
      <c r="Y13" s="30"/>
    </row>
    <row r="14" spans="1:25" x14ac:dyDescent="0.25">
      <c r="A14" s="7">
        <v>9</v>
      </c>
      <c r="B14" s="7">
        <f t="shared" si="0"/>
        <v>1001</v>
      </c>
      <c r="C14" s="7" t="str">
        <f t="shared" si="1"/>
        <v>9</v>
      </c>
      <c r="D14" s="8" t="str">
        <f t="shared" si="2"/>
        <v>文字列</v>
      </c>
      <c r="E14" s="9"/>
      <c r="F14" s="8"/>
      <c r="G14" s="8"/>
      <c r="H14" s="12"/>
      <c r="I14" s="8"/>
      <c r="J14" s="8"/>
      <c r="L14" s="33">
        <v>9</v>
      </c>
      <c r="M14" s="28" t="s">
        <v>488</v>
      </c>
      <c r="N14" s="35">
        <v>39</v>
      </c>
      <c r="O14" s="28" t="s">
        <v>514</v>
      </c>
      <c r="P14" s="35">
        <v>69</v>
      </c>
      <c r="R14" s="35">
        <v>99</v>
      </c>
      <c r="T14" s="35">
        <v>129</v>
      </c>
      <c r="V14" s="35">
        <v>159</v>
      </c>
      <c r="X14" s="35">
        <v>189</v>
      </c>
      <c r="Y14" s="30"/>
    </row>
    <row r="15" spans="1:25" x14ac:dyDescent="0.25">
      <c r="A15" s="7">
        <v>10</v>
      </c>
      <c r="B15" s="7">
        <f t="shared" si="0"/>
        <v>1010</v>
      </c>
      <c r="C15" s="7" t="str">
        <f t="shared" si="1"/>
        <v>A</v>
      </c>
      <c r="D15" s="8" t="str">
        <f t="shared" si="2"/>
        <v>文字列</v>
      </c>
      <c r="E15" s="8" t="s">
        <v>462</v>
      </c>
      <c r="F15" s="9"/>
      <c r="H15" s="7">
        <v>100</v>
      </c>
      <c r="I15" s="8" t="s">
        <v>459</v>
      </c>
      <c r="J15" s="8"/>
      <c r="L15" s="33">
        <v>10</v>
      </c>
      <c r="M15" s="28" t="s">
        <v>489</v>
      </c>
      <c r="N15" s="35">
        <v>40</v>
      </c>
      <c r="O15" s="28" t="s">
        <v>515</v>
      </c>
      <c r="P15" s="35">
        <v>70</v>
      </c>
      <c r="R15" s="35">
        <v>100</v>
      </c>
      <c r="T15" s="35">
        <v>130</v>
      </c>
      <c r="V15" s="35">
        <v>160</v>
      </c>
      <c r="X15" s="35">
        <v>190</v>
      </c>
      <c r="Y15" s="30"/>
    </row>
    <row r="16" spans="1:25" x14ac:dyDescent="0.25">
      <c r="A16" s="7">
        <v>11</v>
      </c>
      <c r="B16" s="7">
        <f t="shared" si="0"/>
        <v>1011</v>
      </c>
      <c r="C16" s="7" t="str">
        <f t="shared" si="1"/>
        <v>B</v>
      </c>
      <c r="D16" s="8" t="str">
        <f t="shared" si="2"/>
        <v>文字列</v>
      </c>
      <c r="E16" s="9"/>
      <c r="F16" s="9"/>
      <c r="G16" s="9"/>
      <c r="H16" s="12"/>
      <c r="I16" s="8"/>
      <c r="J16" s="8"/>
      <c r="L16" s="33">
        <v>11</v>
      </c>
      <c r="M16" s="28" t="s">
        <v>490</v>
      </c>
      <c r="N16" s="35">
        <v>41</v>
      </c>
      <c r="O16" s="28" t="s">
        <v>516</v>
      </c>
      <c r="P16" s="35">
        <v>71</v>
      </c>
      <c r="R16" s="35">
        <v>101</v>
      </c>
      <c r="T16" s="35">
        <v>131</v>
      </c>
      <c r="V16" s="35">
        <v>161</v>
      </c>
      <c r="X16" s="35">
        <v>191</v>
      </c>
      <c r="Y16" s="30"/>
    </row>
    <row r="17" spans="1:25" x14ac:dyDescent="0.25">
      <c r="A17" s="7">
        <v>12</v>
      </c>
      <c r="B17" s="7">
        <f t="shared" si="0"/>
        <v>1100</v>
      </c>
      <c r="C17" s="7" t="str">
        <f t="shared" si="1"/>
        <v>C</v>
      </c>
      <c r="D17" s="8" t="str">
        <f t="shared" si="2"/>
        <v>文字列</v>
      </c>
      <c r="E17" s="9"/>
      <c r="F17" s="9"/>
      <c r="G17" s="9"/>
      <c r="H17" s="12"/>
      <c r="I17" s="8"/>
      <c r="J17" s="8"/>
      <c r="L17" s="33">
        <v>12</v>
      </c>
      <c r="M17" s="28" t="s">
        <v>491</v>
      </c>
      <c r="N17" s="35">
        <v>42</v>
      </c>
      <c r="O17" s="28" t="s">
        <v>517</v>
      </c>
      <c r="P17" s="35">
        <v>72</v>
      </c>
      <c r="R17" s="35">
        <v>102</v>
      </c>
      <c r="T17" s="35">
        <v>132</v>
      </c>
      <c r="V17" s="35">
        <v>162</v>
      </c>
      <c r="X17" s="35">
        <v>192</v>
      </c>
      <c r="Y17" s="30"/>
    </row>
    <row r="18" spans="1:25" x14ac:dyDescent="0.25">
      <c r="A18" s="7">
        <v>13</v>
      </c>
      <c r="B18" s="7">
        <f t="shared" si="0"/>
        <v>1101</v>
      </c>
      <c r="C18" s="7" t="str">
        <f t="shared" si="1"/>
        <v>D</v>
      </c>
      <c r="D18" s="8" t="str">
        <f t="shared" si="2"/>
        <v>文字列</v>
      </c>
      <c r="E18" s="9"/>
      <c r="F18" s="9"/>
      <c r="G18" s="9"/>
      <c r="H18" s="12"/>
      <c r="I18" s="8"/>
      <c r="J18" s="8"/>
      <c r="L18" s="33">
        <v>13</v>
      </c>
      <c r="M18" s="28" t="s">
        <v>492</v>
      </c>
      <c r="N18" s="35">
        <v>43</v>
      </c>
      <c r="O18" s="28" t="s">
        <v>518</v>
      </c>
      <c r="P18" s="35">
        <v>73</v>
      </c>
      <c r="R18" s="35">
        <v>103</v>
      </c>
      <c r="T18" s="35">
        <v>133</v>
      </c>
      <c r="V18" s="35">
        <v>163</v>
      </c>
      <c r="X18" s="35">
        <v>193</v>
      </c>
      <c r="Y18" s="30"/>
    </row>
    <row r="19" spans="1:25" x14ac:dyDescent="0.25">
      <c r="A19" s="7">
        <v>14</v>
      </c>
      <c r="B19" s="7">
        <f t="shared" si="0"/>
        <v>1110</v>
      </c>
      <c r="C19" s="7" t="str">
        <f t="shared" si="1"/>
        <v>E</v>
      </c>
      <c r="D19" s="8" t="str">
        <f t="shared" si="2"/>
        <v>文字列</v>
      </c>
      <c r="E19" s="9"/>
      <c r="F19" s="9"/>
      <c r="G19" s="9"/>
      <c r="H19" s="12"/>
      <c r="I19" s="8"/>
      <c r="J19" s="8"/>
      <c r="L19" s="33">
        <v>14</v>
      </c>
      <c r="M19" s="28" t="s">
        <v>493</v>
      </c>
      <c r="N19" s="35">
        <v>44</v>
      </c>
      <c r="O19" s="28" t="s">
        <v>519</v>
      </c>
      <c r="P19" s="35">
        <v>74</v>
      </c>
      <c r="R19" s="35">
        <v>104</v>
      </c>
      <c r="T19" s="35">
        <v>134</v>
      </c>
      <c r="V19" s="35">
        <v>164</v>
      </c>
      <c r="X19" s="35">
        <v>194</v>
      </c>
      <c r="Y19" s="30"/>
    </row>
    <row r="20" spans="1:25" x14ac:dyDescent="0.25">
      <c r="A20" s="7">
        <v>15</v>
      </c>
      <c r="B20" s="7">
        <f t="shared" si="0"/>
        <v>1111</v>
      </c>
      <c r="C20" s="7" t="str">
        <f t="shared" si="1"/>
        <v>F</v>
      </c>
      <c r="D20" s="8" t="str">
        <f t="shared" si="2"/>
        <v>文字列</v>
      </c>
      <c r="E20" s="9"/>
      <c r="F20" s="9"/>
      <c r="G20" s="9"/>
      <c r="H20" s="12"/>
      <c r="I20" s="8"/>
      <c r="J20" s="8"/>
      <c r="L20" s="33">
        <v>15</v>
      </c>
      <c r="M20" s="28" t="s">
        <v>494</v>
      </c>
      <c r="N20" s="35">
        <v>45</v>
      </c>
      <c r="O20" s="28" t="s">
        <v>520</v>
      </c>
      <c r="P20" s="35">
        <v>75</v>
      </c>
      <c r="R20" s="35">
        <v>105</v>
      </c>
      <c r="T20" s="35">
        <v>135</v>
      </c>
      <c r="V20" s="35">
        <v>165</v>
      </c>
      <c r="X20" s="35">
        <v>195</v>
      </c>
      <c r="Y20" s="30"/>
    </row>
    <row r="21" spans="1:25" x14ac:dyDescent="0.25">
      <c r="A21" s="7">
        <v>16</v>
      </c>
      <c r="B21" s="7">
        <f t="shared" si="0"/>
        <v>10000</v>
      </c>
      <c r="C21" s="7" t="str">
        <f t="shared" si="1"/>
        <v>10</v>
      </c>
      <c r="D21" s="8" t="str">
        <f t="shared" si="2"/>
        <v>文字列</v>
      </c>
      <c r="F21" s="8"/>
      <c r="G21" s="8"/>
      <c r="H21" s="7"/>
      <c r="I21" s="8"/>
      <c r="J21" s="8"/>
      <c r="L21" s="33">
        <v>16</v>
      </c>
      <c r="M21" s="28" t="s">
        <v>495</v>
      </c>
      <c r="N21" s="35">
        <v>46</v>
      </c>
      <c r="O21" s="28" t="s">
        <v>521</v>
      </c>
      <c r="P21" s="35">
        <v>76</v>
      </c>
      <c r="R21" s="35">
        <v>106</v>
      </c>
      <c r="T21" s="35">
        <v>136</v>
      </c>
      <c r="V21" s="35">
        <v>166</v>
      </c>
      <c r="X21" s="35">
        <v>196</v>
      </c>
      <c r="Y21" s="30"/>
    </row>
    <row r="22" spans="1:25" x14ac:dyDescent="0.25">
      <c r="A22" s="7">
        <v>17</v>
      </c>
      <c r="B22" s="7">
        <f t="shared" si="0"/>
        <v>10001</v>
      </c>
      <c r="C22" s="7" t="str">
        <f t="shared" si="1"/>
        <v>11</v>
      </c>
      <c r="D22" s="8" t="str">
        <f t="shared" si="2"/>
        <v>文字列</v>
      </c>
      <c r="E22" s="11"/>
      <c r="F22" s="8"/>
      <c r="G22" s="8"/>
      <c r="H22" s="7"/>
      <c r="I22" s="8"/>
      <c r="J22" s="8"/>
      <c r="L22" s="33">
        <v>17</v>
      </c>
      <c r="M22" s="28" t="s">
        <v>496</v>
      </c>
      <c r="N22" s="35">
        <v>47</v>
      </c>
      <c r="P22" s="35">
        <v>77</v>
      </c>
      <c r="R22" s="35">
        <v>107</v>
      </c>
      <c r="T22" s="35">
        <v>137</v>
      </c>
      <c r="V22" s="35">
        <v>167</v>
      </c>
      <c r="X22" s="35">
        <v>197</v>
      </c>
      <c r="Y22" s="30"/>
    </row>
    <row r="23" spans="1:25" x14ac:dyDescent="0.25">
      <c r="A23" s="7">
        <v>18</v>
      </c>
      <c r="B23" s="7">
        <f t="shared" si="0"/>
        <v>10010</v>
      </c>
      <c r="C23" s="7" t="str">
        <f t="shared" si="1"/>
        <v>12</v>
      </c>
      <c r="D23" s="8" t="str">
        <f t="shared" si="2"/>
        <v>文字列</v>
      </c>
      <c r="E23" s="8"/>
      <c r="F23" s="8"/>
      <c r="G23" s="8"/>
      <c r="H23" s="7"/>
      <c r="I23" s="8"/>
      <c r="J23" s="8"/>
      <c r="L23" s="33">
        <v>18</v>
      </c>
      <c r="M23" s="28" t="s">
        <v>497</v>
      </c>
      <c r="N23" s="35">
        <v>48</v>
      </c>
      <c r="O23" s="28"/>
      <c r="P23" s="35">
        <v>78</v>
      </c>
      <c r="R23" s="35">
        <v>108</v>
      </c>
      <c r="T23" s="35">
        <v>138</v>
      </c>
      <c r="V23" s="35">
        <v>168</v>
      </c>
      <c r="X23" s="35">
        <v>198</v>
      </c>
      <c r="Y23" s="30"/>
    </row>
    <row r="24" spans="1:25" x14ac:dyDescent="0.25">
      <c r="A24" s="7">
        <v>19</v>
      </c>
      <c r="B24" s="7">
        <f t="shared" si="0"/>
        <v>10011</v>
      </c>
      <c r="C24" s="7" t="str">
        <f t="shared" si="1"/>
        <v>13</v>
      </c>
      <c r="D24" s="8" t="str">
        <f t="shared" si="2"/>
        <v>文字列</v>
      </c>
      <c r="E24" s="11"/>
      <c r="F24" s="8"/>
      <c r="G24" s="8"/>
      <c r="H24" s="7"/>
      <c r="I24" s="8"/>
      <c r="J24" s="8"/>
      <c r="L24" s="33">
        <v>19</v>
      </c>
      <c r="M24" s="28" t="s">
        <v>522</v>
      </c>
      <c r="N24" s="35">
        <v>49</v>
      </c>
      <c r="P24" s="35">
        <v>79</v>
      </c>
      <c r="R24" s="35">
        <v>109</v>
      </c>
      <c r="T24" s="35">
        <v>139</v>
      </c>
      <c r="V24" s="35">
        <v>169</v>
      </c>
      <c r="X24" s="41"/>
      <c r="Y24" s="38"/>
    </row>
    <row r="25" spans="1:25" x14ac:dyDescent="0.25">
      <c r="A25" s="7">
        <v>20</v>
      </c>
      <c r="B25" s="7">
        <f t="shared" si="0"/>
        <v>10100</v>
      </c>
      <c r="C25" s="7" t="str">
        <f t="shared" si="1"/>
        <v>14</v>
      </c>
      <c r="D25" s="8" t="str">
        <f t="shared" si="2"/>
        <v>文字列</v>
      </c>
      <c r="E25" s="8"/>
      <c r="F25" s="8"/>
      <c r="G25" s="8"/>
      <c r="H25" s="7"/>
      <c r="I25" s="8"/>
      <c r="J25" s="8"/>
      <c r="L25" s="33">
        <v>20</v>
      </c>
      <c r="M25" s="28" t="s">
        <v>523</v>
      </c>
      <c r="N25" s="35">
        <v>50</v>
      </c>
      <c r="P25" s="35">
        <v>80</v>
      </c>
      <c r="R25" s="35">
        <v>110</v>
      </c>
      <c r="T25" s="35">
        <v>140</v>
      </c>
      <c r="V25" s="35">
        <v>170</v>
      </c>
      <c r="X25" s="37"/>
      <c r="Y25" s="38"/>
    </row>
    <row r="26" spans="1:25" x14ac:dyDescent="0.25">
      <c r="A26" s="7">
        <v>21</v>
      </c>
      <c r="B26" s="7">
        <f t="shared" si="0"/>
        <v>10101</v>
      </c>
      <c r="C26" s="7" t="str">
        <f t="shared" si="1"/>
        <v>15</v>
      </c>
      <c r="D26" s="8" t="str">
        <f t="shared" si="2"/>
        <v>文字列</v>
      </c>
      <c r="E26" s="8"/>
      <c r="F26" s="8"/>
      <c r="G26" s="8"/>
      <c r="H26" s="7"/>
      <c r="I26" s="8"/>
      <c r="J26" s="8"/>
      <c r="L26" s="33">
        <v>21</v>
      </c>
      <c r="M26" s="28" t="s">
        <v>524</v>
      </c>
      <c r="N26" s="35">
        <v>51</v>
      </c>
      <c r="P26" s="35">
        <v>81</v>
      </c>
      <c r="R26" s="35">
        <v>111</v>
      </c>
      <c r="T26" s="35">
        <v>141</v>
      </c>
      <c r="V26" s="35">
        <v>171</v>
      </c>
      <c r="X26" s="37"/>
      <c r="Y26" s="38"/>
    </row>
    <row r="27" spans="1:25" x14ac:dyDescent="0.25">
      <c r="A27" s="7">
        <v>22</v>
      </c>
      <c r="B27" s="7">
        <f t="shared" si="0"/>
        <v>10110</v>
      </c>
      <c r="C27" s="7" t="str">
        <f t="shared" si="1"/>
        <v>16</v>
      </c>
      <c r="D27" s="8" t="str">
        <f t="shared" si="2"/>
        <v>文字列</v>
      </c>
      <c r="E27" s="8"/>
      <c r="F27" s="8"/>
      <c r="G27" s="8"/>
      <c r="H27" s="7"/>
      <c r="I27" s="8"/>
      <c r="J27" s="8"/>
      <c r="L27" s="33">
        <v>22</v>
      </c>
      <c r="M27" s="28" t="s">
        <v>525</v>
      </c>
      <c r="N27" s="35">
        <v>52</v>
      </c>
      <c r="P27" s="35">
        <v>82</v>
      </c>
      <c r="R27" s="35">
        <v>112</v>
      </c>
      <c r="T27" s="35">
        <v>142</v>
      </c>
      <c r="V27" s="35">
        <v>172</v>
      </c>
      <c r="X27" s="37"/>
      <c r="Y27" s="38"/>
    </row>
    <row r="28" spans="1:25" x14ac:dyDescent="0.25">
      <c r="A28" s="7">
        <v>23</v>
      </c>
      <c r="B28" s="7">
        <f t="shared" si="0"/>
        <v>10111</v>
      </c>
      <c r="C28" s="7" t="str">
        <f t="shared" si="1"/>
        <v>17</v>
      </c>
      <c r="D28" s="8" t="str">
        <f t="shared" si="2"/>
        <v>文字列</v>
      </c>
      <c r="E28" s="8"/>
      <c r="F28" s="8"/>
      <c r="G28" s="8"/>
      <c r="H28" s="7"/>
      <c r="I28" s="8"/>
      <c r="J28" s="8"/>
      <c r="L28" s="33">
        <v>23</v>
      </c>
      <c r="M28" s="28" t="s">
        <v>498</v>
      </c>
      <c r="N28" s="35">
        <v>53</v>
      </c>
      <c r="P28" s="35">
        <v>83</v>
      </c>
      <c r="R28" s="35">
        <v>113</v>
      </c>
      <c r="T28" s="35">
        <v>143</v>
      </c>
      <c r="V28" s="35">
        <v>173</v>
      </c>
      <c r="X28" s="37"/>
      <c r="Y28" s="38"/>
    </row>
    <row r="29" spans="1:25" x14ac:dyDescent="0.25">
      <c r="A29" s="7">
        <v>24</v>
      </c>
      <c r="B29" s="7">
        <f t="shared" si="0"/>
        <v>11000</v>
      </c>
      <c r="C29" s="7" t="str">
        <f t="shared" si="1"/>
        <v>18</v>
      </c>
      <c r="D29" s="8" t="str">
        <f t="shared" si="2"/>
        <v>文字列</v>
      </c>
      <c r="E29" s="9"/>
      <c r="F29" s="8"/>
      <c r="G29" s="8"/>
      <c r="H29" s="7"/>
      <c r="I29" s="9"/>
      <c r="J29" s="8"/>
      <c r="L29" s="33">
        <v>24</v>
      </c>
      <c r="M29" s="28" t="s">
        <v>499</v>
      </c>
      <c r="N29" s="35">
        <v>54</v>
      </c>
      <c r="P29" s="35">
        <v>84</v>
      </c>
      <c r="R29" s="35">
        <v>114</v>
      </c>
      <c r="T29" s="35">
        <v>144</v>
      </c>
      <c r="V29" s="35">
        <v>174</v>
      </c>
      <c r="X29" s="37"/>
      <c r="Y29" s="38"/>
    </row>
    <row r="30" spans="1:25" x14ac:dyDescent="0.25">
      <c r="A30" s="7">
        <v>25</v>
      </c>
      <c r="B30" s="7">
        <f t="shared" si="0"/>
        <v>11001</v>
      </c>
      <c r="C30" s="7" t="str">
        <f t="shared" si="1"/>
        <v>19</v>
      </c>
      <c r="D30" s="8" t="str">
        <f t="shared" si="2"/>
        <v>文字列</v>
      </c>
      <c r="E30" s="9"/>
      <c r="F30" s="8"/>
      <c r="G30" s="8"/>
      <c r="H30" s="7"/>
      <c r="I30" s="9"/>
      <c r="J30" s="8"/>
      <c r="L30" s="33">
        <v>25</v>
      </c>
      <c r="M30" s="28" t="s">
        <v>500</v>
      </c>
      <c r="N30" s="35">
        <v>55</v>
      </c>
      <c r="P30" s="35">
        <v>85</v>
      </c>
      <c r="R30" s="35">
        <v>115</v>
      </c>
      <c r="T30" s="35">
        <v>145</v>
      </c>
      <c r="V30" s="35">
        <v>175</v>
      </c>
      <c r="X30" s="37"/>
      <c r="Y30" s="38"/>
    </row>
    <row r="31" spans="1:25" x14ac:dyDescent="0.25">
      <c r="A31" s="7">
        <v>26</v>
      </c>
      <c r="B31" s="7">
        <f t="shared" si="0"/>
        <v>11010</v>
      </c>
      <c r="C31" s="7" t="str">
        <f t="shared" si="1"/>
        <v>1A</v>
      </c>
      <c r="D31" s="8" t="str">
        <f t="shared" si="2"/>
        <v>文字列</v>
      </c>
      <c r="E31" s="9"/>
      <c r="F31" s="8"/>
      <c r="G31" s="8"/>
      <c r="H31" s="7"/>
      <c r="I31" s="9"/>
      <c r="J31" s="8"/>
      <c r="L31" s="33">
        <v>26</v>
      </c>
      <c r="M31" s="28" t="s">
        <v>501</v>
      </c>
      <c r="N31" s="35">
        <v>56</v>
      </c>
      <c r="P31" s="35">
        <v>86</v>
      </c>
      <c r="R31" s="35">
        <v>116</v>
      </c>
      <c r="T31" s="35">
        <v>146</v>
      </c>
      <c r="V31" s="35">
        <v>176</v>
      </c>
      <c r="X31" s="37"/>
      <c r="Y31" s="38"/>
    </row>
    <row r="32" spans="1:25" x14ac:dyDescent="0.25">
      <c r="A32" s="7">
        <v>27</v>
      </c>
      <c r="B32" s="7">
        <f t="shared" si="0"/>
        <v>11011</v>
      </c>
      <c r="C32" s="7" t="str">
        <f t="shared" si="1"/>
        <v>1B</v>
      </c>
      <c r="D32" s="8" t="str">
        <f t="shared" si="2"/>
        <v>文字列</v>
      </c>
      <c r="E32" s="9"/>
      <c r="F32" s="8"/>
      <c r="G32" s="8"/>
      <c r="H32" s="7"/>
      <c r="I32" s="9"/>
      <c r="J32" s="8"/>
      <c r="L32" s="33">
        <v>27</v>
      </c>
      <c r="M32" s="28" t="s">
        <v>502</v>
      </c>
      <c r="N32" s="35">
        <v>57</v>
      </c>
      <c r="P32" s="35">
        <v>87</v>
      </c>
      <c r="R32" s="35">
        <v>117</v>
      </c>
      <c r="T32" s="35">
        <v>147</v>
      </c>
      <c r="V32" s="35">
        <v>177</v>
      </c>
      <c r="X32" s="37"/>
      <c r="Y32" s="38"/>
    </row>
    <row r="33" spans="1:25" x14ac:dyDescent="0.25">
      <c r="A33" s="7">
        <v>28</v>
      </c>
      <c r="B33" s="7">
        <f t="shared" si="0"/>
        <v>11100</v>
      </c>
      <c r="C33" s="7" t="str">
        <f t="shared" si="1"/>
        <v>1C</v>
      </c>
      <c r="D33" s="8" t="str">
        <f t="shared" si="2"/>
        <v>文字列</v>
      </c>
      <c r="E33" s="9"/>
      <c r="F33" s="8"/>
      <c r="G33" s="9"/>
      <c r="H33" s="12"/>
      <c r="I33" s="9"/>
      <c r="J33" s="8"/>
      <c r="L33" s="33">
        <v>28</v>
      </c>
      <c r="M33" s="28" t="s">
        <v>504</v>
      </c>
      <c r="N33" s="35">
        <v>58</v>
      </c>
      <c r="P33" s="35">
        <v>88</v>
      </c>
      <c r="R33" s="35">
        <v>118</v>
      </c>
      <c r="T33" s="35">
        <v>148</v>
      </c>
      <c r="V33" s="35">
        <v>178</v>
      </c>
      <c r="X33" s="37"/>
      <c r="Y33" s="38"/>
    </row>
    <row r="34" spans="1:25" x14ac:dyDescent="0.25">
      <c r="A34" s="7">
        <v>29</v>
      </c>
      <c r="B34" s="7">
        <f t="shared" si="0"/>
        <v>11101</v>
      </c>
      <c r="C34" s="7" t="str">
        <f t="shared" si="1"/>
        <v>1D</v>
      </c>
      <c r="D34" s="8" t="str">
        <f t="shared" si="2"/>
        <v>文字列</v>
      </c>
      <c r="E34" s="9"/>
      <c r="F34" s="8"/>
      <c r="G34" s="9"/>
      <c r="H34" s="12"/>
      <c r="I34" s="9"/>
      <c r="J34" s="8"/>
      <c r="L34" s="34">
        <v>29</v>
      </c>
      <c r="M34" s="31" t="s">
        <v>505</v>
      </c>
      <c r="N34" s="36">
        <v>59</v>
      </c>
      <c r="O34" s="32"/>
      <c r="P34" s="36">
        <v>89</v>
      </c>
      <c r="Q34" s="32"/>
      <c r="R34" s="36">
        <v>119</v>
      </c>
      <c r="S34" s="32"/>
      <c r="T34" s="36">
        <v>149</v>
      </c>
      <c r="U34" s="32"/>
      <c r="V34" s="36">
        <v>179</v>
      </c>
      <c r="W34" s="32"/>
      <c r="X34" s="39"/>
      <c r="Y34" s="40"/>
    </row>
    <row r="35" spans="1:25" x14ac:dyDescent="0.25">
      <c r="A35" s="7">
        <v>30</v>
      </c>
      <c r="B35" s="7">
        <f t="shared" si="0"/>
        <v>11110</v>
      </c>
      <c r="C35" s="7" t="str">
        <f t="shared" si="1"/>
        <v>1E</v>
      </c>
      <c r="D35" s="8" t="str">
        <f t="shared" si="2"/>
        <v>文字列</v>
      </c>
      <c r="E35" s="8"/>
      <c r="F35" s="8"/>
      <c r="G35" s="8"/>
      <c r="H35" s="7"/>
      <c r="I35" s="8"/>
      <c r="J35" s="8"/>
    </row>
    <row r="36" spans="1:25" x14ac:dyDescent="0.25">
      <c r="A36" s="7">
        <v>31</v>
      </c>
      <c r="B36" s="7">
        <f t="shared" si="0"/>
        <v>11111</v>
      </c>
      <c r="C36" s="7" t="str">
        <f t="shared" si="1"/>
        <v>1F</v>
      </c>
      <c r="D36" s="8" t="str">
        <f t="shared" si="2"/>
        <v>文字列</v>
      </c>
      <c r="E36" s="8"/>
      <c r="F36" s="8"/>
      <c r="G36" s="8"/>
      <c r="H36" s="7"/>
      <c r="I36" s="9"/>
      <c r="J36" s="8"/>
    </row>
    <row r="37" spans="1:25" x14ac:dyDescent="0.25">
      <c r="A37" s="7">
        <v>32</v>
      </c>
      <c r="B37" s="7">
        <f t="shared" si="0"/>
        <v>100000</v>
      </c>
      <c r="C37" s="7" t="str">
        <f t="shared" si="1"/>
        <v>20</v>
      </c>
      <c r="D37" s="8" t="str">
        <f t="shared" si="2"/>
        <v>文字列</v>
      </c>
      <c r="E37" s="8"/>
      <c r="F37" s="8"/>
      <c r="G37" s="8"/>
      <c r="H37" s="7"/>
      <c r="I37" s="8"/>
      <c r="J37" s="8"/>
    </row>
    <row r="38" spans="1:25" x14ac:dyDescent="0.25">
      <c r="A38" s="7">
        <v>33</v>
      </c>
      <c r="B38" s="7">
        <f t="shared" si="0"/>
        <v>100001</v>
      </c>
      <c r="C38" s="7" t="str">
        <f t="shared" si="1"/>
        <v>21</v>
      </c>
      <c r="D38" s="8" t="s">
        <v>310</v>
      </c>
      <c r="G38" s="8"/>
      <c r="J38" s="8"/>
    </row>
    <row r="39" spans="1:25" x14ac:dyDescent="0.25">
      <c r="A39" s="7">
        <v>34</v>
      </c>
      <c r="B39" s="7">
        <f t="shared" si="0"/>
        <v>100010</v>
      </c>
      <c r="C39" s="7" t="str">
        <f t="shared" si="1"/>
        <v>22</v>
      </c>
      <c r="D39" s="8" t="s">
        <v>310</v>
      </c>
      <c r="J39" s="8"/>
    </row>
    <row r="40" spans="1:25" x14ac:dyDescent="0.25">
      <c r="A40" s="7">
        <v>35</v>
      </c>
      <c r="B40" s="7">
        <f t="shared" si="0"/>
        <v>100011</v>
      </c>
      <c r="C40" s="7" t="str">
        <f t="shared" si="1"/>
        <v>23</v>
      </c>
      <c r="D40" s="8" t="s">
        <v>130</v>
      </c>
      <c r="J40" s="9"/>
    </row>
    <row r="41" spans="1:25" x14ac:dyDescent="0.25">
      <c r="A41" s="7">
        <v>36</v>
      </c>
      <c r="B41" s="7">
        <f t="shared" si="0"/>
        <v>100100</v>
      </c>
      <c r="C41" s="7" t="str">
        <f t="shared" si="1"/>
        <v>24</v>
      </c>
      <c r="D41" s="8" t="s">
        <v>130</v>
      </c>
      <c r="E41" s="9"/>
      <c r="F41" s="9"/>
      <c r="G41" s="9"/>
      <c r="H41" s="12"/>
      <c r="I41" s="9"/>
      <c r="J41" s="8"/>
    </row>
    <row r="42" spans="1:25" x14ac:dyDescent="0.25">
      <c r="A42" s="7">
        <v>37</v>
      </c>
      <c r="B42" s="7">
        <f t="shared" si="0"/>
        <v>100101</v>
      </c>
      <c r="C42" s="7" t="str">
        <f t="shared" si="1"/>
        <v>25</v>
      </c>
      <c r="D42" s="8" t="s">
        <v>130</v>
      </c>
      <c r="E42" s="9"/>
      <c r="F42" s="9"/>
      <c r="G42" s="9"/>
      <c r="H42" s="12"/>
      <c r="I42" s="9"/>
      <c r="J42" s="8"/>
    </row>
    <row r="43" spans="1:25" x14ac:dyDescent="0.25">
      <c r="A43" s="7">
        <v>38</v>
      </c>
      <c r="B43" s="7">
        <f t="shared" si="0"/>
        <v>100110</v>
      </c>
      <c r="C43" s="7" t="str">
        <f t="shared" si="1"/>
        <v>26</v>
      </c>
      <c r="D43" s="8" t="s">
        <v>130</v>
      </c>
      <c r="E43" s="9"/>
      <c r="F43" s="9"/>
      <c r="G43" s="9"/>
      <c r="H43" s="12"/>
      <c r="I43" s="9"/>
      <c r="J43" s="9"/>
    </row>
    <row r="44" spans="1:25" x14ac:dyDescent="0.25">
      <c r="A44" s="7">
        <v>39</v>
      </c>
      <c r="B44" s="7">
        <f t="shared" si="0"/>
        <v>100111</v>
      </c>
      <c r="C44" s="7" t="str">
        <f t="shared" si="1"/>
        <v>27</v>
      </c>
      <c r="D44" s="8" t="s">
        <v>130</v>
      </c>
      <c r="E44" s="9"/>
      <c r="F44" s="9"/>
      <c r="G44" s="9"/>
      <c r="H44" s="12"/>
      <c r="I44" s="9"/>
      <c r="J44" s="8"/>
    </row>
    <row r="45" spans="1:25" x14ac:dyDescent="0.25">
      <c r="A45" s="7">
        <v>40</v>
      </c>
      <c r="B45" s="7">
        <f t="shared" si="0"/>
        <v>101000</v>
      </c>
      <c r="C45" s="7" t="str">
        <f t="shared" si="1"/>
        <v>28</v>
      </c>
      <c r="D45" s="8" t="s">
        <v>130</v>
      </c>
      <c r="E45" s="9"/>
      <c r="F45" s="9"/>
      <c r="G45" s="9"/>
      <c r="H45" s="12"/>
      <c r="I45" s="9"/>
      <c r="J45" s="8"/>
    </row>
    <row r="46" spans="1:25" x14ac:dyDescent="0.25">
      <c r="A46" s="7">
        <v>41</v>
      </c>
      <c r="B46" s="7">
        <f t="shared" si="0"/>
        <v>101001</v>
      </c>
      <c r="C46" s="7" t="str">
        <f t="shared" si="1"/>
        <v>29</v>
      </c>
      <c r="D46" s="8" t="s">
        <v>130</v>
      </c>
      <c r="E46" s="9"/>
      <c r="F46" s="9"/>
      <c r="G46" s="9"/>
      <c r="H46" s="12"/>
      <c r="I46" s="9"/>
      <c r="J46" s="8"/>
    </row>
    <row r="47" spans="1:25" x14ac:dyDescent="0.25">
      <c r="A47" s="7">
        <v>42</v>
      </c>
      <c r="B47" s="7">
        <f t="shared" si="0"/>
        <v>101010</v>
      </c>
      <c r="C47" s="7" t="str">
        <f t="shared" si="1"/>
        <v>2A</v>
      </c>
      <c r="D47" s="8" t="s">
        <v>130</v>
      </c>
      <c r="E47" s="9"/>
      <c r="F47" s="9"/>
      <c r="G47" s="9"/>
      <c r="H47" s="12"/>
      <c r="I47" s="9"/>
      <c r="J47" s="8"/>
    </row>
    <row r="48" spans="1:25" x14ac:dyDescent="0.25">
      <c r="A48" s="7">
        <v>43</v>
      </c>
      <c r="B48" s="7">
        <f t="shared" si="0"/>
        <v>101011</v>
      </c>
      <c r="C48" s="7" t="str">
        <f t="shared" si="1"/>
        <v>2B</v>
      </c>
      <c r="D48" s="8" t="s">
        <v>130</v>
      </c>
      <c r="E48" s="9"/>
      <c r="F48" s="9"/>
      <c r="G48" s="9"/>
      <c r="H48" s="12"/>
      <c r="I48" s="9"/>
      <c r="J48" s="8"/>
    </row>
    <row r="49" spans="1:10" x14ac:dyDescent="0.25">
      <c r="A49" s="7">
        <v>44</v>
      </c>
      <c r="B49" s="7">
        <f t="shared" si="0"/>
        <v>101100</v>
      </c>
      <c r="C49" s="7" t="str">
        <f t="shared" si="1"/>
        <v>2C</v>
      </c>
      <c r="D49" s="8" t="s">
        <v>130</v>
      </c>
      <c r="E49" s="9"/>
      <c r="F49" s="9"/>
      <c r="G49" s="9"/>
      <c r="H49" s="12"/>
      <c r="I49" s="9"/>
      <c r="J49" s="9"/>
    </row>
    <row r="50" spans="1:10" x14ac:dyDescent="0.25">
      <c r="A50" s="7">
        <v>45</v>
      </c>
      <c r="B50" s="7">
        <f t="shared" si="0"/>
        <v>101101</v>
      </c>
      <c r="C50" s="7" t="str">
        <f t="shared" si="1"/>
        <v>2D</v>
      </c>
      <c r="D50" s="8" t="s">
        <v>130</v>
      </c>
      <c r="E50" s="9"/>
      <c r="F50" s="9"/>
      <c r="G50" s="9"/>
      <c r="H50" s="12"/>
      <c r="I50" s="9"/>
      <c r="J50" s="8"/>
    </row>
    <row r="51" spans="1:10" x14ac:dyDescent="0.25">
      <c r="A51" s="7">
        <v>46</v>
      </c>
      <c r="B51" s="7">
        <f t="shared" si="0"/>
        <v>101110</v>
      </c>
      <c r="C51" s="7" t="str">
        <f t="shared" si="1"/>
        <v>2E</v>
      </c>
      <c r="D51" s="8" t="s">
        <v>130</v>
      </c>
      <c r="E51" s="9"/>
      <c r="F51" s="9"/>
      <c r="G51" s="9"/>
      <c r="H51" s="12"/>
      <c r="I51" s="9"/>
      <c r="J51" s="8"/>
    </row>
    <row r="52" spans="1:10" x14ac:dyDescent="0.25">
      <c r="A52" s="7">
        <v>47</v>
      </c>
      <c r="B52" s="7">
        <f t="shared" si="0"/>
        <v>101111</v>
      </c>
      <c r="C52" s="7" t="str">
        <f t="shared" si="1"/>
        <v>2F</v>
      </c>
      <c r="D52" s="8" t="s">
        <v>130</v>
      </c>
      <c r="E52" s="9"/>
      <c r="F52" s="9"/>
      <c r="G52" s="9"/>
      <c r="H52" s="12"/>
      <c r="I52" s="9"/>
      <c r="J52" s="8"/>
    </row>
    <row r="53" spans="1:10" x14ac:dyDescent="0.25">
      <c r="A53" s="7">
        <v>48</v>
      </c>
      <c r="B53" s="7">
        <f>DEC2BIN(A53/512)*1000000000+DEC2BIN(MOD(A53,512))</f>
        <v>110000</v>
      </c>
      <c r="C53" s="7" t="str">
        <f>DEC2HEX(A53)</f>
        <v>30</v>
      </c>
      <c r="D53" s="8" t="s">
        <v>130</v>
      </c>
      <c r="E53" s="9"/>
      <c r="F53" s="9"/>
      <c r="G53" s="9"/>
      <c r="H53" s="12"/>
      <c r="I53" s="9"/>
      <c r="J53" s="8"/>
    </row>
    <row r="54" spans="1:10" x14ac:dyDescent="0.25">
      <c r="A54" s="7">
        <v>49</v>
      </c>
      <c r="B54" s="7">
        <f>DEC2BIN(A54/512)*1000000000+DEC2BIN(MOD(A54,512))</f>
        <v>110001</v>
      </c>
      <c r="C54" s="7" t="str">
        <f>DEC2HEX(A54)</f>
        <v>31</v>
      </c>
      <c r="D54" s="8" t="s">
        <v>130</v>
      </c>
      <c r="E54" s="9"/>
      <c r="F54" s="9"/>
      <c r="G54" s="9"/>
      <c r="H54" s="12"/>
      <c r="I54" s="9"/>
      <c r="J54" s="9"/>
    </row>
    <row r="55" spans="1:10" x14ac:dyDescent="0.25">
      <c r="A55" s="7">
        <v>50</v>
      </c>
      <c r="B55" s="7">
        <f t="shared" si="0"/>
        <v>110010</v>
      </c>
      <c r="C55" s="7" t="str">
        <f t="shared" si="1"/>
        <v>32</v>
      </c>
      <c r="D55" s="8" t="s">
        <v>130</v>
      </c>
      <c r="E55" s="9"/>
      <c r="F55" s="9"/>
      <c r="G55" s="9"/>
      <c r="H55" s="12"/>
      <c r="I55" s="9"/>
      <c r="J55" s="8"/>
    </row>
    <row r="56" spans="1:10" x14ac:dyDescent="0.25">
      <c r="A56" s="7">
        <v>51</v>
      </c>
      <c r="B56" s="7">
        <f t="shared" si="0"/>
        <v>110011</v>
      </c>
      <c r="C56" s="7" t="str">
        <f t="shared" si="1"/>
        <v>33</v>
      </c>
      <c r="D56" s="8" t="s">
        <v>130</v>
      </c>
      <c r="E56" s="9"/>
      <c r="F56" s="9"/>
      <c r="G56" s="9"/>
      <c r="H56" s="12"/>
      <c r="I56" s="9"/>
      <c r="J56" s="9"/>
    </row>
    <row r="57" spans="1:10" x14ac:dyDescent="0.25">
      <c r="A57" s="7">
        <v>52</v>
      </c>
      <c r="B57" s="7">
        <f t="shared" si="0"/>
        <v>110100</v>
      </c>
      <c r="C57" s="7" t="str">
        <f t="shared" si="1"/>
        <v>34</v>
      </c>
      <c r="D57" s="8" t="s">
        <v>130</v>
      </c>
      <c r="E57" s="9"/>
      <c r="F57" s="9"/>
      <c r="G57" s="9"/>
      <c r="H57" s="12"/>
      <c r="I57" s="9"/>
      <c r="J57" s="9"/>
    </row>
    <row r="58" spans="1:10" x14ac:dyDescent="0.25">
      <c r="A58" s="7">
        <v>53</v>
      </c>
      <c r="B58" s="7">
        <f t="shared" si="0"/>
        <v>110101</v>
      </c>
      <c r="C58" s="7" t="str">
        <f t="shared" si="1"/>
        <v>35</v>
      </c>
      <c r="D58" s="8" t="s">
        <v>130</v>
      </c>
      <c r="E58" s="9"/>
      <c r="F58" s="9"/>
      <c r="G58" s="9"/>
      <c r="H58" s="12"/>
      <c r="I58" s="9"/>
      <c r="J58" s="9"/>
    </row>
    <row r="59" spans="1:10" x14ac:dyDescent="0.25">
      <c r="A59" s="7">
        <v>54</v>
      </c>
      <c r="B59" s="7">
        <f t="shared" si="0"/>
        <v>110110</v>
      </c>
      <c r="C59" s="7" t="str">
        <f t="shared" si="1"/>
        <v>36</v>
      </c>
      <c r="D59" s="8" t="s">
        <v>130</v>
      </c>
      <c r="E59" s="9"/>
      <c r="F59" s="9"/>
      <c r="G59" s="9"/>
      <c r="H59" s="12"/>
      <c r="I59" s="9"/>
      <c r="J59" s="9"/>
    </row>
    <row r="60" spans="1:10" x14ac:dyDescent="0.25">
      <c r="A60" s="7">
        <v>55</v>
      </c>
      <c r="B60" s="7">
        <f t="shared" si="0"/>
        <v>110111</v>
      </c>
      <c r="C60" s="7" t="str">
        <f t="shared" si="1"/>
        <v>37</v>
      </c>
      <c r="D60" s="8" t="s">
        <v>130</v>
      </c>
      <c r="E60" s="9"/>
      <c r="F60" s="9"/>
      <c r="G60" s="9"/>
      <c r="H60" s="12"/>
      <c r="I60" s="9"/>
      <c r="J60" s="9"/>
    </row>
    <row r="61" spans="1:10" x14ac:dyDescent="0.25">
      <c r="A61" s="7">
        <v>56</v>
      </c>
      <c r="B61" s="7">
        <f t="shared" si="0"/>
        <v>111000</v>
      </c>
      <c r="C61" s="7" t="str">
        <f t="shared" si="1"/>
        <v>38</v>
      </c>
      <c r="D61" s="8" t="s">
        <v>130</v>
      </c>
      <c r="E61" s="9"/>
      <c r="F61" s="9"/>
      <c r="G61" s="9"/>
      <c r="H61" s="12"/>
      <c r="I61" s="9"/>
      <c r="J61" s="9"/>
    </row>
    <row r="62" spans="1:10" x14ac:dyDescent="0.25">
      <c r="A62" s="7">
        <v>57</v>
      </c>
      <c r="B62" s="7">
        <f t="shared" si="0"/>
        <v>111001</v>
      </c>
      <c r="C62" s="7" t="str">
        <f t="shared" si="1"/>
        <v>39</v>
      </c>
      <c r="D62" s="8" t="s">
        <v>130</v>
      </c>
      <c r="E62" s="9"/>
      <c r="F62" s="9"/>
      <c r="G62" s="9"/>
      <c r="H62" s="12"/>
      <c r="I62" s="9"/>
      <c r="J62" s="9"/>
    </row>
    <row r="63" spans="1:10" x14ac:dyDescent="0.25">
      <c r="A63" s="7">
        <v>58</v>
      </c>
      <c r="B63" s="7">
        <f t="shared" si="0"/>
        <v>111010</v>
      </c>
      <c r="C63" s="7" t="str">
        <f t="shared" si="1"/>
        <v>3A</v>
      </c>
      <c r="D63" s="8" t="s">
        <v>130</v>
      </c>
      <c r="E63" s="9"/>
      <c r="F63" s="9"/>
      <c r="G63" s="9"/>
      <c r="H63" s="12"/>
      <c r="I63" s="9"/>
      <c r="J63" s="9"/>
    </row>
    <row r="64" spans="1:10" x14ac:dyDescent="0.25">
      <c r="A64" s="7">
        <v>59</v>
      </c>
      <c r="B64" s="7">
        <f t="shared" si="0"/>
        <v>111011</v>
      </c>
      <c r="C64" s="7" t="str">
        <f t="shared" si="1"/>
        <v>3B</v>
      </c>
      <c r="D64" s="8" t="s">
        <v>130</v>
      </c>
      <c r="E64" s="9"/>
      <c r="F64" s="9"/>
      <c r="G64" s="9"/>
      <c r="H64" s="12"/>
      <c r="I64" s="9"/>
      <c r="J64" s="9"/>
    </row>
    <row r="65" spans="1:10" x14ac:dyDescent="0.25">
      <c r="A65" s="7">
        <v>60</v>
      </c>
      <c r="B65" s="7">
        <f t="shared" si="0"/>
        <v>111100</v>
      </c>
      <c r="C65" s="7" t="str">
        <f t="shared" si="1"/>
        <v>3C</v>
      </c>
      <c r="D65" s="8" t="s">
        <v>130</v>
      </c>
      <c r="E65" s="9"/>
      <c r="F65" s="9"/>
      <c r="G65" s="9"/>
      <c r="H65" s="12"/>
      <c r="I65" s="9"/>
      <c r="J65" s="8"/>
    </row>
    <row r="66" spans="1:10" x14ac:dyDescent="0.25">
      <c r="A66" s="7">
        <v>61</v>
      </c>
      <c r="B66" s="7">
        <f t="shared" si="0"/>
        <v>111101</v>
      </c>
      <c r="C66" s="7" t="str">
        <f t="shared" si="1"/>
        <v>3D</v>
      </c>
      <c r="D66" s="8" t="s">
        <v>130</v>
      </c>
      <c r="E66" s="9"/>
      <c r="F66" s="9"/>
      <c r="G66" s="9"/>
      <c r="H66" s="12"/>
      <c r="I66" s="9"/>
      <c r="J66" s="8"/>
    </row>
    <row r="67" spans="1:10" x14ac:dyDescent="0.25">
      <c r="A67" s="7">
        <v>62</v>
      </c>
      <c r="B67" s="7">
        <f t="shared" si="0"/>
        <v>111110</v>
      </c>
      <c r="C67" s="7" t="str">
        <f t="shared" si="1"/>
        <v>3E</v>
      </c>
      <c r="D67" s="8" t="s">
        <v>130</v>
      </c>
      <c r="E67" s="9"/>
      <c r="F67" s="9"/>
      <c r="G67" s="9"/>
      <c r="H67" s="12"/>
      <c r="I67" s="9"/>
      <c r="J67" s="8"/>
    </row>
    <row r="68" spans="1:10" x14ac:dyDescent="0.25">
      <c r="A68" s="7">
        <v>63</v>
      </c>
      <c r="B68" s="7">
        <f t="shared" si="0"/>
        <v>111111</v>
      </c>
      <c r="C68" s="7" t="str">
        <f t="shared" si="1"/>
        <v>3F</v>
      </c>
      <c r="D68" s="8" t="s">
        <v>130</v>
      </c>
      <c r="E68" s="9"/>
      <c r="F68" s="9"/>
      <c r="G68" s="9"/>
      <c r="H68" s="12"/>
      <c r="I68" s="9"/>
      <c r="J68" s="8"/>
    </row>
    <row r="69" spans="1:10" x14ac:dyDescent="0.25">
      <c r="A69" s="7">
        <v>64</v>
      </c>
      <c r="B69" s="7">
        <f t="shared" si="0"/>
        <v>1000000</v>
      </c>
      <c r="C69" s="7" t="str">
        <f t="shared" si="1"/>
        <v>40</v>
      </c>
      <c r="D69" s="8" t="s">
        <v>310</v>
      </c>
      <c r="E69" s="8"/>
      <c r="F69" s="8"/>
      <c r="G69" s="8"/>
      <c r="H69" s="7"/>
      <c r="I69" s="8"/>
      <c r="J69" s="8"/>
    </row>
    <row r="70" spans="1:10" x14ac:dyDescent="0.25">
      <c r="A70" s="7">
        <v>65</v>
      </c>
      <c r="B70" s="7">
        <f t="shared" si="0"/>
        <v>1000001</v>
      </c>
      <c r="C70" s="7" t="str">
        <f t="shared" si="1"/>
        <v>41</v>
      </c>
      <c r="D70" s="8" t="s">
        <v>310</v>
      </c>
      <c r="E70" s="8"/>
      <c r="F70" s="8"/>
      <c r="G70" s="8"/>
      <c r="H70" s="7"/>
      <c r="I70" s="8"/>
      <c r="J70" s="9"/>
    </row>
    <row r="71" spans="1:10" x14ac:dyDescent="0.25">
      <c r="A71" s="7">
        <v>66</v>
      </c>
      <c r="B71" s="7">
        <f t="shared" si="0"/>
        <v>1000010</v>
      </c>
      <c r="C71" s="7" t="str">
        <f t="shared" si="1"/>
        <v>42</v>
      </c>
      <c r="D71" s="8" t="s">
        <v>310</v>
      </c>
      <c r="E71" s="9"/>
      <c r="F71" s="9"/>
      <c r="G71" s="9"/>
      <c r="H71" s="12"/>
      <c r="I71" s="9"/>
      <c r="J71" s="9"/>
    </row>
    <row r="72" spans="1:10" x14ac:dyDescent="0.25">
      <c r="A72" s="7">
        <v>67</v>
      </c>
      <c r="B72" s="7">
        <f t="shared" si="0"/>
        <v>1000011</v>
      </c>
      <c r="C72" s="7" t="str">
        <f t="shared" si="1"/>
        <v>43</v>
      </c>
      <c r="D72" s="8" t="s">
        <v>130</v>
      </c>
      <c r="E72" s="9"/>
      <c r="F72" s="9"/>
      <c r="G72" s="9"/>
      <c r="H72" s="12"/>
      <c r="I72" s="9"/>
      <c r="J72" s="9"/>
    </row>
    <row r="73" spans="1:10" x14ac:dyDescent="0.25">
      <c r="A73" s="7">
        <v>68</v>
      </c>
      <c r="B73" s="7">
        <f t="shared" si="0"/>
        <v>1000100</v>
      </c>
      <c r="C73" s="7" t="str">
        <f t="shared" si="1"/>
        <v>44</v>
      </c>
      <c r="D73" s="8" t="s">
        <v>130</v>
      </c>
      <c r="E73" s="9"/>
      <c r="F73" s="9"/>
      <c r="G73" s="9"/>
      <c r="H73" s="12"/>
      <c r="I73" s="9"/>
      <c r="J73" s="9"/>
    </row>
    <row r="74" spans="1:10" x14ac:dyDescent="0.25">
      <c r="A74" s="7">
        <v>69</v>
      </c>
      <c r="B74" s="7">
        <f t="shared" si="0"/>
        <v>1000101</v>
      </c>
      <c r="C74" s="7" t="str">
        <f t="shared" si="1"/>
        <v>45</v>
      </c>
      <c r="D74" s="8" t="s">
        <v>130</v>
      </c>
      <c r="E74" s="9"/>
      <c r="F74" s="9"/>
      <c r="G74" s="9"/>
      <c r="H74" s="12"/>
      <c r="I74" s="9"/>
      <c r="J74" s="9"/>
    </row>
    <row r="75" spans="1:10" x14ac:dyDescent="0.25">
      <c r="A75" s="7">
        <v>70</v>
      </c>
      <c r="B75" s="7">
        <f t="shared" si="0"/>
        <v>1000110</v>
      </c>
      <c r="C75" s="7" t="str">
        <f t="shared" si="1"/>
        <v>46</v>
      </c>
      <c r="D75" s="8" t="s">
        <v>130</v>
      </c>
      <c r="E75" s="9"/>
      <c r="F75" s="9"/>
      <c r="G75" s="9"/>
      <c r="H75" s="12"/>
      <c r="I75" s="8"/>
      <c r="J75" s="9"/>
    </row>
    <row r="76" spans="1:10" x14ac:dyDescent="0.25">
      <c r="A76" s="7">
        <v>71</v>
      </c>
      <c r="B76" s="7">
        <f t="shared" si="0"/>
        <v>1000111</v>
      </c>
      <c r="C76" s="7" t="str">
        <f t="shared" si="1"/>
        <v>47</v>
      </c>
      <c r="D76" s="8" t="s">
        <v>130</v>
      </c>
      <c r="E76" s="9"/>
      <c r="F76" s="9"/>
      <c r="G76" s="9"/>
      <c r="H76" s="12"/>
      <c r="I76" s="9"/>
      <c r="J76" s="9"/>
    </row>
    <row r="77" spans="1:10" x14ac:dyDescent="0.25">
      <c r="A77" s="7">
        <v>72</v>
      </c>
      <c r="B77" s="7">
        <f t="shared" si="0"/>
        <v>1001000</v>
      </c>
      <c r="C77" s="7" t="str">
        <f t="shared" si="1"/>
        <v>48</v>
      </c>
      <c r="D77" s="8" t="s">
        <v>130</v>
      </c>
      <c r="E77" s="9"/>
      <c r="F77" s="9"/>
      <c r="G77" s="9"/>
      <c r="H77" s="12"/>
      <c r="I77" s="9"/>
      <c r="J77" s="9"/>
    </row>
    <row r="78" spans="1:10" x14ac:dyDescent="0.25">
      <c r="A78" s="7">
        <v>73</v>
      </c>
      <c r="B78" s="7">
        <f t="shared" si="0"/>
        <v>1001001</v>
      </c>
      <c r="C78" s="7" t="str">
        <f t="shared" si="1"/>
        <v>49</v>
      </c>
      <c r="D78" s="8" t="s">
        <v>130</v>
      </c>
      <c r="E78" s="8"/>
      <c r="F78" s="8"/>
      <c r="G78" s="8"/>
      <c r="H78" s="7"/>
      <c r="I78" s="8"/>
      <c r="J78" s="9"/>
    </row>
    <row r="79" spans="1:10" x14ac:dyDescent="0.25">
      <c r="A79" s="7">
        <v>74</v>
      </c>
      <c r="B79" s="7">
        <f t="shared" si="0"/>
        <v>1001010</v>
      </c>
      <c r="C79" s="7" t="str">
        <f t="shared" si="1"/>
        <v>4A</v>
      </c>
      <c r="D79" s="8" t="s">
        <v>130</v>
      </c>
      <c r="E79" s="8"/>
      <c r="F79" s="8"/>
      <c r="G79" s="8"/>
      <c r="H79" s="7"/>
      <c r="I79" s="8"/>
      <c r="J79" s="9"/>
    </row>
    <row r="80" spans="1:10" x14ac:dyDescent="0.25">
      <c r="A80" s="7">
        <v>75</v>
      </c>
      <c r="B80" s="7">
        <f t="shared" si="0"/>
        <v>1001011</v>
      </c>
      <c r="C80" s="7" t="str">
        <f t="shared" si="1"/>
        <v>4B</v>
      </c>
      <c r="D80" s="8" t="s">
        <v>130</v>
      </c>
      <c r="E80" s="8"/>
      <c r="F80" s="8"/>
      <c r="G80" s="8"/>
      <c r="H80" s="7"/>
      <c r="I80" s="8"/>
      <c r="J80" s="9"/>
    </row>
    <row r="81" spans="1:10" x14ac:dyDescent="0.25">
      <c r="A81" s="7">
        <v>76</v>
      </c>
      <c r="B81" s="7">
        <f t="shared" si="0"/>
        <v>1001100</v>
      </c>
      <c r="C81" s="7" t="str">
        <f t="shared" si="1"/>
        <v>4C</v>
      </c>
      <c r="D81" s="8" t="s">
        <v>130</v>
      </c>
      <c r="E81" s="8"/>
      <c r="F81" s="8"/>
      <c r="G81" s="8"/>
      <c r="H81" s="7"/>
      <c r="I81" s="8"/>
      <c r="J81" s="9"/>
    </row>
    <row r="82" spans="1:10" x14ac:dyDescent="0.25">
      <c r="A82" s="7">
        <v>77</v>
      </c>
      <c r="B82" s="7">
        <f t="shared" si="0"/>
        <v>1001101</v>
      </c>
      <c r="C82" s="7" t="str">
        <f t="shared" si="1"/>
        <v>4D</v>
      </c>
      <c r="D82" s="8" t="s">
        <v>130</v>
      </c>
      <c r="E82" s="9"/>
      <c r="F82" s="9"/>
      <c r="G82" s="9"/>
      <c r="H82" s="12"/>
      <c r="I82" s="9"/>
      <c r="J82" s="9"/>
    </row>
    <row r="83" spans="1:10" x14ac:dyDescent="0.25">
      <c r="A83" s="7">
        <v>78</v>
      </c>
      <c r="B83" s="7">
        <f t="shared" si="0"/>
        <v>1001110</v>
      </c>
      <c r="C83" s="7" t="str">
        <f t="shared" si="1"/>
        <v>4E</v>
      </c>
      <c r="D83" s="8" t="s">
        <v>130</v>
      </c>
      <c r="E83" s="9"/>
      <c r="F83" s="9"/>
      <c r="G83" s="9"/>
      <c r="H83" s="12"/>
      <c r="I83" s="9"/>
      <c r="J83" s="9"/>
    </row>
    <row r="84" spans="1:10" x14ac:dyDescent="0.25">
      <c r="A84" s="7">
        <v>79</v>
      </c>
      <c r="B84" s="7">
        <f t="shared" si="0"/>
        <v>1001111</v>
      </c>
      <c r="C84" s="7" t="str">
        <f t="shared" si="1"/>
        <v>4F</v>
      </c>
      <c r="D84" s="8" t="s">
        <v>130</v>
      </c>
      <c r="E84" s="8"/>
      <c r="F84" s="8"/>
      <c r="G84" s="8"/>
      <c r="H84" s="7"/>
      <c r="I84" s="8"/>
      <c r="J84" s="9"/>
    </row>
    <row r="85" spans="1:10" x14ac:dyDescent="0.25">
      <c r="A85" s="7">
        <v>80</v>
      </c>
      <c r="B85" s="7">
        <f t="shared" si="0"/>
        <v>1010000</v>
      </c>
      <c r="C85" s="7" t="str">
        <f t="shared" si="1"/>
        <v>50</v>
      </c>
      <c r="D85" s="8" t="s">
        <v>130</v>
      </c>
      <c r="E85" s="8"/>
      <c r="F85" s="8"/>
      <c r="G85" s="8"/>
      <c r="H85" s="7"/>
      <c r="I85" s="8"/>
      <c r="J85" s="9"/>
    </row>
    <row r="86" spans="1:10" x14ac:dyDescent="0.25">
      <c r="A86" s="7">
        <v>81</v>
      </c>
      <c r="B86" s="7">
        <f t="shared" si="0"/>
        <v>1010001</v>
      </c>
      <c r="C86" s="7" t="str">
        <f t="shared" si="1"/>
        <v>51</v>
      </c>
      <c r="D86" s="8" t="s">
        <v>130</v>
      </c>
      <c r="E86" s="8"/>
      <c r="F86" s="8"/>
      <c r="G86" s="8"/>
      <c r="H86" s="7"/>
      <c r="I86" s="8"/>
      <c r="J86" s="9"/>
    </row>
    <row r="87" spans="1:10" x14ac:dyDescent="0.25">
      <c r="A87" s="7">
        <v>82</v>
      </c>
      <c r="B87" s="7">
        <f t="shared" si="0"/>
        <v>1010010</v>
      </c>
      <c r="C87" s="7" t="str">
        <f t="shared" si="1"/>
        <v>52</v>
      </c>
      <c r="D87" s="8" t="s">
        <v>130</v>
      </c>
      <c r="E87" s="8"/>
      <c r="F87" s="8"/>
      <c r="G87" s="8"/>
      <c r="H87" s="7"/>
      <c r="I87" s="8"/>
      <c r="J87" s="9"/>
    </row>
    <row r="88" spans="1:10" x14ac:dyDescent="0.25">
      <c r="A88" s="7">
        <v>83</v>
      </c>
      <c r="B88" s="7">
        <f t="shared" si="0"/>
        <v>1010011</v>
      </c>
      <c r="C88" s="7" t="str">
        <f t="shared" si="1"/>
        <v>53</v>
      </c>
      <c r="D88" s="8" t="s">
        <v>130</v>
      </c>
      <c r="E88" s="8"/>
      <c r="F88" s="8"/>
      <c r="G88" s="8"/>
      <c r="H88" s="7"/>
      <c r="I88" s="8"/>
      <c r="J88" s="9"/>
    </row>
    <row r="89" spans="1:10" x14ac:dyDescent="0.25">
      <c r="A89" s="7">
        <v>84</v>
      </c>
      <c r="B89" s="7">
        <f t="shared" si="0"/>
        <v>1010100</v>
      </c>
      <c r="C89" s="7" t="str">
        <f t="shared" si="1"/>
        <v>54</v>
      </c>
      <c r="D89" s="8" t="s">
        <v>130</v>
      </c>
      <c r="E89" s="9"/>
      <c r="F89" s="9"/>
      <c r="G89" s="9"/>
      <c r="H89" s="12"/>
      <c r="I89" s="9"/>
      <c r="J89" s="9"/>
    </row>
    <row r="90" spans="1:10" x14ac:dyDescent="0.25">
      <c r="A90" s="7">
        <v>85</v>
      </c>
      <c r="B90" s="7">
        <f t="shared" si="0"/>
        <v>1010101</v>
      </c>
      <c r="C90" s="7" t="str">
        <f t="shared" si="1"/>
        <v>55</v>
      </c>
      <c r="D90" s="8" t="s">
        <v>130</v>
      </c>
      <c r="E90" s="8"/>
      <c r="F90" s="8"/>
      <c r="G90" s="8"/>
      <c r="H90" s="7"/>
      <c r="I90" s="8"/>
      <c r="J90" s="9"/>
    </row>
    <row r="91" spans="1:10" x14ac:dyDescent="0.25">
      <c r="A91" s="7">
        <v>86</v>
      </c>
      <c r="B91" s="7">
        <f t="shared" si="0"/>
        <v>1010110</v>
      </c>
      <c r="C91" s="7" t="str">
        <f t="shared" si="1"/>
        <v>56</v>
      </c>
      <c r="D91" s="8" t="s">
        <v>130</v>
      </c>
      <c r="E91" s="8"/>
      <c r="F91" s="8"/>
      <c r="G91" s="8"/>
      <c r="H91" s="7"/>
      <c r="I91" s="8"/>
      <c r="J91" s="9"/>
    </row>
    <row r="92" spans="1:10" x14ac:dyDescent="0.25">
      <c r="A92" s="7">
        <v>87</v>
      </c>
      <c r="B92" s="7">
        <f t="shared" si="0"/>
        <v>1010111</v>
      </c>
      <c r="C92" s="7" t="str">
        <f t="shared" si="1"/>
        <v>57</v>
      </c>
      <c r="D92" s="8" t="s">
        <v>130</v>
      </c>
      <c r="E92" s="8"/>
      <c r="F92" s="8"/>
      <c r="G92" s="8"/>
      <c r="H92" s="7"/>
      <c r="I92" s="8"/>
      <c r="J92" s="9"/>
    </row>
    <row r="93" spans="1:10" x14ac:dyDescent="0.25">
      <c r="A93" s="7">
        <v>88</v>
      </c>
      <c r="B93" s="7">
        <f t="shared" si="0"/>
        <v>1011000</v>
      </c>
      <c r="C93" s="7" t="str">
        <f t="shared" si="1"/>
        <v>58</v>
      </c>
      <c r="D93" s="8" t="s">
        <v>130</v>
      </c>
      <c r="E93" s="8"/>
      <c r="F93" s="8"/>
      <c r="G93" s="8"/>
      <c r="H93" s="7"/>
      <c r="I93" s="8"/>
      <c r="J93" s="9"/>
    </row>
    <row r="94" spans="1:10" x14ac:dyDescent="0.25">
      <c r="A94" s="7">
        <v>89</v>
      </c>
      <c r="B94" s="7">
        <f t="shared" si="0"/>
        <v>1011001</v>
      </c>
      <c r="C94" s="7" t="str">
        <f t="shared" si="1"/>
        <v>59</v>
      </c>
      <c r="D94" s="8" t="s">
        <v>130</v>
      </c>
      <c r="E94" s="8"/>
      <c r="F94" s="8"/>
      <c r="G94" s="8"/>
      <c r="H94" s="7"/>
      <c r="I94" s="8"/>
      <c r="J94" s="9"/>
    </row>
    <row r="95" spans="1:10" x14ac:dyDescent="0.25">
      <c r="A95" s="7">
        <v>90</v>
      </c>
      <c r="B95" s="7">
        <f t="shared" si="0"/>
        <v>1011010</v>
      </c>
      <c r="C95" s="7" t="str">
        <f>DEC2HEX(A95)</f>
        <v>5A</v>
      </c>
      <c r="D95" s="8" t="s">
        <v>130</v>
      </c>
      <c r="E95" s="8"/>
      <c r="F95" s="8"/>
      <c r="G95" s="8"/>
      <c r="H95" s="7"/>
      <c r="I95" s="8"/>
      <c r="J95" s="9"/>
    </row>
    <row r="96" spans="1:10" x14ac:dyDescent="0.25">
      <c r="A96" s="7">
        <v>91</v>
      </c>
      <c r="B96" s="7">
        <f t="shared" si="0"/>
        <v>1011011</v>
      </c>
      <c r="C96" s="7" t="str">
        <f t="shared" si="1"/>
        <v>5B</v>
      </c>
      <c r="D96" s="8" t="s">
        <v>130</v>
      </c>
      <c r="E96" s="8"/>
      <c r="F96" s="8"/>
      <c r="G96" s="8"/>
      <c r="H96" s="7"/>
      <c r="I96" s="8"/>
      <c r="J96" s="9"/>
    </row>
    <row r="97" spans="1:10" x14ac:dyDescent="0.25">
      <c r="A97" s="7">
        <v>92</v>
      </c>
      <c r="B97" s="7">
        <f t="shared" si="0"/>
        <v>1011100</v>
      </c>
      <c r="C97" s="7" t="str">
        <f t="shared" si="1"/>
        <v>5C</v>
      </c>
      <c r="D97" s="8" t="s">
        <v>130</v>
      </c>
      <c r="E97" s="8"/>
      <c r="F97" s="8"/>
      <c r="G97" s="8"/>
      <c r="H97" s="7"/>
      <c r="I97" s="9"/>
      <c r="J97" s="9"/>
    </row>
    <row r="98" spans="1:10" x14ac:dyDescent="0.25">
      <c r="A98" s="7">
        <v>93</v>
      </c>
      <c r="B98" s="7">
        <f t="shared" si="0"/>
        <v>1011101</v>
      </c>
      <c r="C98" s="7" t="str">
        <f t="shared" si="1"/>
        <v>5D</v>
      </c>
      <c r="D98" s="8" t="s">
        <v>130</v>
      </c>
      <c r="E98" s="8"/>
      <c r="F98" s="8"/>
      <c r="G98" s="8"/>
      <c r="H98" s="7"/>
      <c r="I98" s="8"/>
      <c r="J98" s="9"/>
    </row>
    <row r="99" spans="1:10" x14ac:dyDescent="0.25">
      <c r="A99" s="7">
        <v>94</v>
      </c>
      <c r="B99" s="7">
        <f t="shared" si="0"/>
        <v>1011110</v>
      </c>
      <c r="C99" s="7" t="str">
        <f t="shared" si="1"/>
        <v>5E</v>
      </c>
      <c r="D99" s="8" t="s">
        <v>130</v>
      </c>
      <c r="E99" s="8"/>
      <c r="F99" s="8"/>
      <c r="G99" s="8"/>
      <c r="H99" s="7"/>
      <c r="I99" s="8"/>
      <c r="J99" s="9"/>
    </row>
    <row r="100" spans="1:10" x14ac:dyDescent="0.25">
      <c r="A100" s="7">
        <v>95</v>
      </c>
      <c r="B100" s="7">
        <f t="shared" si="0"/>
        <v>1011111</v>
      </c>
      <c r="C100" s="7" t="str">
        <f t="shared" si="1"/>
        <v>5F</v>
      </c>
      <c r="D100" s="8" t="s">
        <v>130</v>
      </c>
      <c r="E100" s="8"/>
      <c r="F100" s="8"/>
      <c r="G100" s="8"/>
      <c r="H100" s="7"/>
      <c r="I100" s="8"/>
      <c r="J100" s="9"/>
    </row>
    <row r="101" spans="1:10" x14ac:dyDescent="0.25">
      <c r="A101" s="7">
        <v>96</v>
      </c>
      <c r="B101" s="7">
        <f t="shared" si="0"/>
        <v>1100000</v>
      </c>
      <c r="C101" s="7" t="str">
        <f t="shared" si="1"/>
        <v>60</v>
      </c>
      <c r="D101" s="8" t="s">
        <v>130</v>
      </c>
      <c r="E101" s="9"/>
      <c r="F101" s="9"/>
      <c r="G101" s="9"/>
      <c r="H101" s="12"/>
      <c r="I101" s="9"/>
      <c r="J101" s="9"/>
    </row>
    <row r="102" spans="1:10" x14ac:dyDescent="0.25">
      <c r="A102" s="7">
        <v>97</v>
      </c>
      <c r="B102" s="7">
        <f t="shared" si="0"/>
        <v>1100001</v>
      </c>
      <c r="C102" s="7" t="str">
        <f t="shared" si="1"/>
        <v>61</v>
      </c>
      <c r="D102" s="8" t="s">
        <v>130</v>
      </c>
      <c r="E102" s="9"/>
      <c r="F102" s="9"/>
      <c r="G102" s="9"/>
      <c r="H102" s="12"/>
      <c r="I102" s="9"/>
      <c r="J102" s="9"/>
    </row>
    <row r="103" spans="1:10" x14ac:dyDescent="0.25">
      <c r="A103" s="7">
        <v>98</v>
      </c>
      <c r="B103" s="7">
        <f t="shared" si="0"/>
        <v>1100010</v>
      </c>
      <c r="C103" s="7" t="str">
        <f t="shared" si="1"/>
        <v>62</v>
      </c>
      <c r="D103" s="8" t="s">
        <v>130</v>
      </c>
      <c r="E103" s="9"/>
      <c r="F103" s="9"/>
      <c r="G103" s="9"/>
      <c r="H103" s="12"/>
      <c r="I103" s="9"/>
      <c r="J103" s="9"/>
    </row>
    <row r="104" spans="1:10" x14ac:dyDescent="0.25">
      <c r="A104" s="7">
        <v>99</v>
      </c>
      <c r="B104" s="7">
        <f t="shared" si="0"/>
        <v>1100011</v>
      </c>
      <c r="C104" s="7" t="str">
        <f t="shared" si="1"/>
        <v>63</v>
      </c>
      <c r="D104" s="8" t="s">
        <v>130</v>
      </c>
      <c r="E104" s="9"/>
      <c r="F104" s="9"/>
      <c r="G104" s="9"/>
      <c r="H104" s="12"/>
      <c r="I104" s="9"/>
      <c r="J104" s="9"/>
    </row>
    <row r="105" spans="1:10" x14ac:dyDescent="0.25">
      <c r="A105" s="7">
        <v>100</v>
      </c>
      <c r="B105" s="7">
        <f t="shared" si="0"/>
        <v>1100100</v>
      </c>
      <c r="C105" s="7" t="str">
        <f t="shared" si="1"/>
        <v>64</v>
      </c>
      <c r="D105" s="8" t="s">
        <v>130</v>
      </c>
      <c r="E105" s="9"/>
      <c r="F105" s="9"/>
      <c r="G105" s="9"/>
      <c r="H105" s="12"/>
      <c r="I105" s="9"/>
      <c r="J105" s="9"/>
    </row>
    <row r="106" spans="1:10" x14ac:dyDescent="0.25">
      <c r="A106" s="7">
        <v>101</v>
      </c>
      <c r="B106" s="7">
        <f t="shared" si="0"/>
        <v>1100101</v>
      </c>
      <c r="C106" s="7" t="str">
        <f t="shared" si="1"/>
        <v>65</v>
      </c>
      <c r="D106" s="8" t="s">
        <v>130</v>
      </c>
      <c r="E106" s="9"/>
      <c r="F106" s="9"/>
      <c r="G106" s="9"/>
      <c r="H106" s="12"/>
      <c r="I106" s="9"/>
      <c r="J106" s="9"/>
    </row>
    <row r="107" spans="1:10" x14ac:dyDescent="0.25">
      <c r="A107" s="7">
        <v>102</v>
      </c>
      <c r="B107" s="7">
        <f t="shared" si="0"/>
        <v>1100110</v>
      </c>
      <c r="C107" s="7" t="str">
        <f t="shared" si="1"/>
        <v>66</v>
      </c>
      <c r="D107" s="8" t="s">
        <v>130</v>
      </c>
      <c r="E107" s="9"/>
      <c r="F107" s="9"/>
      <c r="G107" s="9"/>
      <c r="H107" s="12"/>
      <c r="I107" s="9"/>
      <c r="J107" s="9"/>
    </row>
    <row r="108" spans="1:10" x14ac:dyDescent="0.25">
      <c r="A108" s="7">
        <v>103</v>
      </c>
      <c r="B108" s="7">
        <f t="shared" si="0"/>
        <v>1100111</v>
      </c>
      <c r="C108" s="7" t="str">
        <f t="shared" si="1"/>
        <v>67</v>
      </c>
      <c r="D108" s="8" t="s">
        <v>130</v>
      </c>
      <c r="E108" s="9"/>
      <c r="F108" s="9"/>
      <c r="G108" s="9"/>
      <c r="H108" s="12"/>
      <c r="I108" s="9"/>
      <c r="J108" s="9"/>
    </row>
    <row r="109" spans="1:10" x14ac:dyDescent="0.25">
      <c r="A109" s="7">
        <v>104</v>
      </c>
      <c r="B109" s="7">
        <f t="shared" si="0"/>
        <v>1101000</v>
      </c>
      <c r="C109" s="7" t="str">
        <f t="shared" si="1"/>
        <v>68</v>
      </c>
      <c r="D109" s="8" t="s">
        <v>130</v>
      </c>
      <c r="E109" s="9"/>
      <c r="F109" s="9"/>
      <c r="G109" s="9"/>
      <c r="H109" s="12"/>
      <c r="I109" s="9"/>
      <c r="J109" s="9"/>
    </row>
    <row r="110" spans="1:10" x14ac:dyDescent="0.25">
      <c r="A110" s="7">
        <v>105</v>
      </c>
      <c r="B110" s="7">
        <f t="shared" si="0"/>
        <v>1101001</v>
      </c>
      <c r="C110" s="7" t="str">
        <f t="shared" si="1"/>
        <v>69</v>
      </c>
      <c r="D110" s="8" t="s">
        <v>130</v>
      </c>
      <c r="E110" s="9"/>
      <c r="F110" s="9"/>
      <c r="G110" s="9"/>
      <c r="H110" s="12"/>
      <c r="I110" s="9"/>
      <c r="J110" s="9"/>
    </row>
    <row r="111" spans="1:10" x14ac:dyDescent="0.25">
      <c r="A111" s="7">
        <v>106</v>
      </c>
      <c r="B111" s="7">
        <f t="shared" si="0"/>
        <v>1101010</v>
      </c>
      <c r="C111" s="7" t="str">
        <f t="shared" si="1"/>
        <v>6A</v>
      </c>
      <c r="D111" s="8" t="s">
        <v>130</v>
      </c>
      <c r="E111" s="9"/>
      <c r="F111" s="9"/>
      <c r="G111" s="9"/>
      <c r="H111" s="12"/>
      <c r="I111" s="9"/>
      <c r="J111" s="9"/>
    </row>
    <row r="112" spans="1:10" x14ac:dyDescent="0.25">
      <c r="A112" s="7">
        <v>107</v>
      </c>
      <c r="B112" s="7">
        <f t="shared" si="0"/>
        <v>1101011</v>
      </c>
      <c r="C112" s="7" t="str">
        <f t="shared" si="1"/>
        <v>6B</v>
      </c>
      <c r="D112" s="8" t="s">
        <v>130</v>
      </c>
      <c r="E112" s="9"/>
      <c r="F112" s="9"/>
      <c r="G112" s="9"/>
      <c r="H112" s="12"/>
      <c r="I112" s="9"/>
      <c r="J112" s="9"/>
    </row>
    <row r="113" spans="1:10" x14ac:dyDescent="0.25">
      <c r="A113" s="7">
        <v>108</v>
      </c>
      <c r="B113" s="7">
        <f t="shared" si="0"/>
        <v>1101100</v>
      </c>
      <c r="C113" s="7" t="str">
        <f t="shared" si="1"/>
        <v>6C</v>
      </c>
      <c r="D113" s="8" t="s">
        <v>130</v>
      </c>
      <c r="E113" s="9"/>
      <c r="F113" s="9"/>
      <c r="G113" s="9"/>
      <c r="H113" s="12"/>
      <c r="I113" s="9"/>
      <c r="J113" s="9"/>
    </row>
    <row r="114" spans="1:10" x14ac:dyDescent="0.25">
      <c r="A114" s="7">
        <v>109</v>
      </c>
      <c r="B114" s="7">
        <f t="shared" si="0"/>
        <v>1101101</v>
      </c>
      <c r="C114" s="7" t="str">
        <f t="shared" si="1"/>
        <v>6D</v>
      </c>
      <c r="D114" s="8" t="s">
        <v>130</v>
      </c>
      <c r="E114" s="9"/>
      <c r="F114" s="9"/>
      <c r="G114" s="9"/>
      <c r="H114" s="12"/>
      <c r="I114" s="9"/>
      <c r="J114" s="9"/>
    </row>
    <row r="115" spans="1:10" x14ac:dyDescent="0.25">
      <c r="A115" s="7">
        <v>110</v>
      </c>
      <c r="B115" s="7">
        <f t="shared" si="0"/>
        <v>1101110</v>
      </c>
      <c r="C115" s="7" t="str">
        <f t="shared" si="1"/>
        <v>6E</v>
      </c>
      <c r="D115" s="8" t="s">
        <v>130</v>
      </c>
      <c r="E115" s="9"/>
      <c r="F115" s="9"/>
      <c r="G115" s="9"/>
      <c r="H115" s="12"/>
      <c r="I115" s="9"/>
      <c r="J115" s="9"/>
    </row>
    <row r="116" spans="1:10" x14ac:dyDescent="0.25">
      <c r="A116" s="7">
        <v>111</v>
      </c>
      <c r="B116" s="7">
        <f>DEC2BIN(A116/512)*1000000000+DEC2BIN(MOD(A116,512))</f>
        <v>1101111</v>
      </c>
      <c r="C116" s="7" t="str">
        <f>DEC2HEX(A116)</f>
        <v>6F</v>
      </c>
      <c r="D116" s="8" t="s">
        <v>130</v>
      </c>
      <c r="E116" s="9"/>
      <c r="F116" s="9"/>
      <c r="G116" s="9"/>
      <c r="H116" s="12"/>
      <c r="I116" s="9"/>
      <c r="J116" s="9"/>
    </row>
    <row r="117" spans="1:10" x14ac:dyDescent="0.25">
      <c r="A117" s="7">
        <v>112</v>
      </c>
      <c r="B117" s="7">
        <f t="shared" si="0"/>
        <v>1110000</v>
      </c>
      <c r="C117" s="7" t="str">
        <f t="shared" si="1"/>
        <v>70</v>
      </c>
      <c r="D117" s="8" t="s">
        <v>130</v>
      </c>
      <c r="E117" s="9"/>
      <c r="F117" s="9"/>
      <c r="G117" s="9"/>
      <c r="H117" s="12"/>
      <c r="I117" s="9"/>
      <c r="J117" s="9"/>
    </row>
    <row r="118" spans="1:10" x14ac:dyDescent="0.25">
      <c r="A118" s="7">
        <v>113</v>
      </c>
      <c r="B118" s="7">
        <f t="shared" si="0"/>
        <v>1110001</v>
      </c>
      <c r="C118" s="7" t="str">
        <f t="shared" si="1"/>
        <v>71</v>
      </c>
      <c r="D118" s="8" t="s">
        <v>130</v>
      </c>
      <c r="E118" s="9"/>
      <c r="F118" s="9"/>
      <c r="G118" s="9"/>
      <c r="H118" s="12"/>
      <c r="I118" s="9"/>
      <c r="J118" s="9"/>
    </row>
    <row r="119" spans="1:10" x14ac:dyDescent="0.25">
      <c r="A119" s="7">
        <v>114</v>
      </c>
      <c r="B119" s="7">
        <f t="shared" si="0"/>
        <v>1110010</v>
      </c>
      <c r="C119" s="7" t="str">
        <f t="shared" si="1"/>
        <v>72</v>
      </c>
      <c r="D119" s="8" t="s">
        <v>130</v>
      </c>
      <c r="E119" s="9"/>
      <c r="F119" s="9"/>
      <c r="G119" s="9"/>
      <c r="H119" s="12"/>
      <c r="I119" s="9"/>
      <c r="J119" s="9"/>
    </row>
    <row r="120" spans="1:10" x14ac:dyDescent="0.25">
      <c r="A120" s="7">
        <v>115</v>
      </c>
      <c r="B120" s="7">
        <f t="shared" si="0"/>
        <v>1110011</v>
      </c>
      <c r="C120" s="7" t="str">
        <f t="shared" si="1"/>
        <v>73</v>
      </c>
      <c r="D120" s="8" t="s">
        <v>130</v>
      </c>
      <c r="E120" s="9"/>
      <c r="F120" s="9"/>
      <c r="G120" s="9"/>
      <c r="H120" s="12"/>
      <c r="I120" s="9"/>
      <c r="J120" s="9"/>
    </row>
    <row r="121" spans="1:10" x14ac:dyDescent="0.25">
      <c r="A121" s="7">
        <v>116</v>
      </c>
      <c r="B121" s="7">
        <f t="shared" si="0"/>
        <v>1110100</v>
      </c>
      <c r="C121" s="7" t="str">
        <f t="shared" si="1"/>
        <v>74</v>
      </c>
      <c r="D121" s="8" t="s">
        <v>130</v>
      </c>
      <c r="E121" s="9"/>
      <c r="F121" s="9"/>
      <c r="G121" s="9"/>
      <c r="H121" s="12"/>
      <c r="I121" s="9"/>
      <c r="J121" s="8"/>
    </row>
    <row r="122" spans="1:10" x14ac:dyDescent="0.25">
      <c r="A122" s="7">
        <v>117</v>
      </c>
      <c r="B122" s="7">
        <f t="shared" si="0"/>
        <v>1110101</v>
      </c>
      <c r="C122" s="7" t="str">
        <f t="shared" si="1"/>
        <v>75</v>
      </c>
      <c r="D122" s="8" t="s">
        <v>130</v>
      </c>
      <c r="E122" s="9"/>
      <c r="F122" s="9"/>
      <c r="G122" s="9"/>
      <c r="H122" s="12"/>
      <c r="I122" s="9"/>
      <c r="J122" s="8"/>
    </row>
    <row r="123" spans="1:10" x14ac:dyDescent="0.25">
      <c r="A123" s="7">
        <v>118</v>
      </c>
      <c r="B123" s="7">
        <f t="shared" si="0"/>
        <v>1110110</v>
      </c>
      <c r="C123" s="7" t="str">
        <f t="shared" si="1"/>
        <v>76</v>
      </c>
      <c r="D123" s="8" t="s">
        <v>130</v>
      </c>
      <c r="E123" s="9"/>
      <c r="F123" s="9"/>
      <c r="G123" s="9"/>
      <c r="H123" s="12"/>
      <c r="I123" s="9"/>
      <c r="J123" s="8"/>
    </row>
    <row r="124" spans="1:10" x14ac:dyDescent="0.25">
      <c r="A124" s="7">
        <v>119</v>
      </c>
      <c r="B124" s="7">
        <f t="shared" si="0"/>
        <v>1110111</v>
      </c>
      <c r="C124" s="7" t="str">
        <f t="shared" si="1"/>
        <v>77</v>
      </c>
      <c r="D124" s="8" t="s">
        <v>130</v>
      </c>
      <c r="E124" s="9"/>
      <c r="F124" s="9"/>
      <c r="G124" s="9"/>
      <c r="H124" s="12"/>
      <c r="I124" s="9"/>
      <c r="J124" s="8"/>
    </row>
    <row r="125" spans="1:10" x14ac:dyDescent="0.25">
      <c r="A125" s="7">
        <v>120</v>
      </c>
      <c r="B125" s="7">
        <f t="shared" si="0"/>
        <v>1111000</v>
      </c>
      <c r="C125" s="7" t="str">
        <f t="shared" si="1"/>
        <v>78</v>
      </c>
      <c r="D125" s="8" t="s">
        <v>130</v>
      </c>
      <c r="E125" s="9"/>
      <c r="F125" s="9"/>
      <c r="G125" s="9"/>
      <c r="H125" s="12"/>
      <c r="I125" s="9"/>
      <c r="J125" s="8"/>
    </row>
    <row r="126" spans="1:10" x14ac:dyDescent="0.25">
      <c r="A126" s="7">
        <v>121</v>
      </c>
      <c r="B126" s="7">
        <f t="shared" si="0"/>
        <v>1111001</v>
      </c>
      <c r="C126" s="7" t="str">
        <f t="shared" si="1"/>
        <v>79</v>
      </c>
      <c r="D126" s="8" t="s">
        <v>130</v>
      </c>
      <c r="E126" s="9"/>
      <c r="F126" s="9"/>
      <c r="G126" s="9"/>
      <c r="H126" s="12"/>
      <c r="I126" s="9"/>
      <c r="J126" s="8"/>
    </row>
    <row r="127" spans="1:10" x14ac:dyDescent="0.25">
      <c r="A127" s="7">
        <v>122</v>
      </c>
      <c r="B127" s="7">
        <f t="shared" si="0"/>
        <v>1111010</v>
      </c>
      <c r="C127" s="7" t="str">
        <f>DEC2HEX(A127)</f>
        <v>7A</v>
      </c>
      <c r="D127" s="8" t="s">
        <v>130</v>
      </c>
      <c r="E127" s="9"/>
      <c r="F127" s="9"/>
      <c r="G127" s="9"/>
      <c r="H127" s="12"/>
      <c r="I127" s="9"/>
      <c r="J127" s="9"/>
    </row>
    <row r="128" spans="1:10" x14ac:dyDescent="0.25">
      <c r="A128" s="7">
        <v>123</v>
      </c>
      <c r="B128" s="7">
        <f t="shared" si="0"/>
        <v>1111011</v>
      </c>
      <c r="C128" s="7" t="str">
        <f t="shared" ref="C128:C142" si="3">DEC2HEX(A128)</f>
        <v>7B</v>
      </c>
      <c r="D128" s="8" t="s">
        <v>130</v>
      </c>
      <c r="E128" s="9"/>
      <c r="F128" s="9"/>
      <c r="G128" s="9"/>
      <c r="H128" s="12"/>
      <c r="I128" s="9"/>
      <c r="J128" s="9"/>
    </row>
    <row r="129" spans="1:10" x14ac:dyDescent="0.25">
      <c r="A129" s="7">
        <v>124</v>
      </c>
      <c r="B129" s="7">
        <f t="shared" si="0"/>
        <v>1111100</v>
      </c>
      <c r="C129" s="7" t="str">
        <f t="shared" si="3"/>
        <v>7C</v>
      </c>
      <c r="D129" s="8" t="s">
        <v>130</v>
      </c>
      <c r="E129" s="9"/>
      <c r="F129" s="9"/>
      <c r="G129" s="9"/>
      <c r="H129" s="12"/>
      <c r="I129" s="9"/>
      <c r="J129" s="9"/>
    </row>
    <row r="130" spans="1:10" x14ac:dyDescent="0.25">
      <c r="A130" s="7">
        <v>125</v>
      </c>
      <c r="B130" s="7">
        <f t="shared" si="0"/>
        <v>1111101</v>
      </c>
      <c r="C130" s="7" t="str">
        <f t="shared" si="3"/>
        <v>7D</v>
      </c>
      <c r="D130" s="8" t="s">
        <v>130</v>
      </c>
      <c r="E130" s="9"/>
      <c r="F130" s="9"/>
      <c r="G130" s="9"/>
      <c r="H130" s="12"/>
      <c r="I130" s="9"/>
      <c r="J130" s="8"/>
    </row>
    <row r="131" spans="1:10" x14ac:dyDescent="0.25">
      <c r="A131" s="7">
        <v>126</v>
      </c>
      <c r="B131" s="7">
        <f t="shared" si="0"/>
        <v>1111110</v>
      </c>
      <c r="C131" s="7" t="str">
        <f t="shared" si="3"/>
        <v>7E</v>
      </c>
      <c r="D131" s="8" t="s">
        <v>130</v>
      </c>
      <c r="E131" s="9"/>
      <c r="F131" s="9"/>
      <c r="G131" s="9"/>
      <c r="H131" s="12"/>
      <c r="I131" s="9"/>
      <c r="J131" s="8"/>
    </row>
    <row r="132" spans="1:10" x14ac:dyDescent="0.25">
      <c r="A132" s="7">
        <v>127</v>
      </c>
      <c r="B132" s="7">
        <f t="shared" si="0"/>
        <v>1111111</v>
      </c>
      <c r="C132" s="7" t="str">
        <f t="shared" si="3"/>
        <v>7F</v>
      </c>
      <c r="D132" s="8" t="s">
        <v>130</v>
      </c>
      <c r="E132" s="9"/>
      <c r="F132" s="9"/>
      <c r="G132" s="9"/>
      <c r="H132" s="12"/>
      <c r="I132" s="9"/>
      <c r="J132" s="8"/>
    </row>
    <row r="133" spans="1:10" x14ac:dyDescent="0.25">
      <c r="A133" s="7">
        <v>128</v>
      </c>
      <c r="B133" s="7">
        <f t="shared" si="0"/>
        <v>10000000</v>
      </c>
      <c r="C133" s="7" t="str">
        <f t="shared" si="3"/>
        <v>80</v>
      </c>
      <c r="D133" s="8" t="s">
        <v>341</v>
      </c>
      <c r="E133" s="8" t="s">
        <v>460</v>
      </c>
      <c r="G133" s="8"/>
      <c r="H133" s="7">
        <v>100</v>
      </c>
      <c r="I133" s="8" t="s">
        <v>459</v>
      </c>
      <c r="J133" s="8"/>
    </row>
    <row r="134" spans="1:10" x14ac:dyDescent="0.25">
      <c r="A134" s="7">
        <v>129</v>
      </c>
      <c r="B134" s="7">
        <f t="shared" si="0"/>
        <v>10000001</v>
      </c>
      <c r="C134" s="7" t="str">
        <f t="shared" si="3"/>
        <v>81</v>
      </c>
      <c r="D134" s="8" t="s">
        <v>341</v>
      </c>
      <c r="E134" s="8" t="s">
        <v>461</v>
      </c>
      <c r="G134" s="8"/>
      <c r="H134" s="7">
        <v>100</v>
      </c>
      <c r="I134" s="8" t="s">
        <v>459</v>
      </c>
      <c r="J134" s="8"/>
    </row>
    <row r="135" spans="1:10" x14ac:dyDescent="0.25">
      <c r="A135" s="7">
        <v>130</v>
      </c>
      <c r="B135" s="7">
        <f t="shared" si="0"/>
        <v>10000010</v>
      </c>
      <c r="C135" s="7" t="str">
        <f t="shared" si="3"/>
        <v>82</v>
      </c>
      <c r="D135" s="8" t="s">
        <v>341</v>
      </c>
      <c r="E135" s="9" t="s">
        <v>471</v>
      </c>
      <c r="F135" s="9"/>
      <c r="G135" s="9"/>
      <c r="H135" s="12">
        <v>100</v>
      </c>
      <c r="I135" s="9" t="s">
        <v>459</v>
      </c>
      <c r="J135" s="8"/>
    </row>
    <row r="136" spans="1:10" x14ac:dyDescent="0.25">
      <c r="A136" s="7">
        <v>131</v>
      </c>
      <c r="B136" s="7">
        <f t="shared" si="0"/>
        <v>10000011</v>
      </c>
      <c r="C136" s="7" t="str">
        <f t="shared" si="3"/>
        <v>83</v>
      </c>
      <c r="D136" s="8" t="s">
        <v>341</v>
      </c>
      <c r="E136" s="9"/>
      <c r="F136" s="9"/>
      <c r="G136" s="9"/>
      <c r="H136" s="12"/>
      <c r="I136" s="9"/>
      <c r="J136" s="8"/>
    </row>
    <row r="137" spans="1:10" x14ac:dyDescent="0.25">
      <c r="A137" s="7">
        <v>132</v>
      </c>
      <c r="B137" s="7">
        <f t="shared" si="0"/>
        <v>10000100</v>
      </c>
      <c r="C137" s="7" t="str">
        <f t="shared" si="3"/>
        <v>84</v>
      </c>
      <c r="D137" s="8" t="s">
        <v>341</v>
      </c>
      <c r="E137" s="9"/>
      <c r="F137" s="9"/>
      <c r="G137" s="9"/>
      <c r="H137" s="12"/>
      <c r="I137" s="9"/>
      <c r="J137" s="8"/>
    </row>
    <row r="138" spans="1:10" x14ac:dyDescent="0.25">
      <c r="A138" s="7">
        <v>133</v>
      </c>
      <c r="B138" s="7">
        <f t="shared" si="0"/>
        <v>10000101</v>
      </c>
      <c r="C138" s="7" t="str">
        <f t="shared" si="3"/>
        <v>85</v>
      </c>
      <c r="D138" s="8" t="s">
        <v>341</v>
      </c>
      <c r="E138" s="9"/>
      <c r="F138" s="9"/>
      <c r="G138" s="9"/>
      <c r="H138" s="12"/>
      <c r="I138" s="9"/>
      <c r="J138" s="8"/>
    </row>
    <row r="139" spans="1:10" x14ac:dyDescent="0.25">
      <c r="A139" s="7">
        <v>134</v>
      </c>
      <c r="B139" s="7">
        <f t="shared" si="0"/>
        <v>10000110</v>
      </c>
      <c r="C139" s="7" t="str">
        <f t="shared" si="3"/>
        <v>86</v>
      </c>
      <c r="D139" s="8" t="s">
        <v>341</v>
      </c>
      <c r="E139" s="9"/>
      <c r="F139" s="9"/>
      <c r="G139" s="9"/>
      <c r="H139" s="12"/>
      <c r="I139" s="9"/>
      <c r="J139" s="9"/>
    </row>
    <row r="140" spans="1:10" x14ac:dyDescent="0.25">
      <c r="A140" s="7">
        <v>135</v>
      </c>
      <c r="B140" s="7">
        <f t="shared" si="0"/>
        <v>10000111</v>
      </c>
      <c r="C140" s="7" t="str">
        <f t="shared" si="3"/>
        <v>87</v>
      </c>
      <c r="D140" s="8" t="s">
        <v>341</v>
      </c>
      <c r="E140" s="9"/>
      <c r="F140" s="9"/>
      <c r="G140" s="9"/>
      <c r="H140" s="12"/>
      <c r="I140" s="9"/>
      <c r="J140" s="8"/>
    </row>
    <row r="141" spans="1:10" x14ac:dyDescent="0.25">
      <c r="A141" s="7">
        <v>136</v>
      </c>
      <c r="B141" s="7">
        <f t="shared" si="0"/>
        <v>10001000</v>
      </c>
      <c r="C141" s="7" t="str">
        <f t="shared" si="3"/>
        <v>88</v>
      </c>
      <c r="D141" s="8" t="s">
        <v>341</v>
      </c>
      <c r="E141" s="9"/>
      <c r="F141" s="9"/>
      <c r="G141" s="9"/>
      <c r="H141" s="12"/>
      <c r="I141" s="9"/>
      <c r="J141" s="8"/>
    </row>
    <row r="142" spans="1:10" x14ac:dyDescent="0.25">
      <c r="A142" s="7">
        <v>137</v>
      </c>
      <c r="B142" s="7">
        <f t="shared" si="0"/>
        <v>10001001</v>
      </c>
      <c r="C142" s="7" t="str">
        <f t="shared" si="3"/>
        <v>89</v>
      </c>
      <c r="D142" s="8" t="s">
        <v>341</v>
      </c>
      <c r="E142" s="9"/>
      <c r="F142" s="9"/>
      <c r="G142" s="9"/>
      <c r="H142" s="12"/>
      <c r="I142" s="9"/>
      <c r="J142" s="8"/>
    </row>
    <row r="143" spans="1:10" x14ac:dyDescent="0.25">
      <c r="A143" s="7">
        <v>138</v>
      </c>
      <c r="B143" s="7">
        <f t="shared" si="0"/>
        <v>10001010</v>
      </c>
      <c r="C143" s="7" t="str">
        <f>DEC2HEX(A143)</f>
        <v>8A</v>
      </c>
      <c r="D143" s="8" t="s">
        <v>341</v>
      </c>
      <c r="E143" s="9" t="s">
        <v>472</v>
      </c>
      <c r="F143" s="9"/>
      <c r="G143" s="9"/>
      <c r="H143" s="12">
        <v>100</v>
      </c>
      <c r="I143" s="9"/>
      <c r="J143" s="8"/>
    </row>
    <row r="144" spans="1:10" x14ac:dyDescent="0.25">
      <c r="A144" s="7">
        <v>139</v>
      </c>
      <c r="B144" s="7">
        <f t="shared" si="0"/>
        <v>10001011</v>
      </c>
      <c r="C144" s="7" t="str">
        <f t="shared" ref="C144:C158" si="4">DEC2HEX(A144)</f>
        <v>8B</v>
      </c>
      <c r="D144" s="8" t="s">
        <v>341</v>
      </c>
      <c r="E144" s="9" t="s">
        <v>473</v>
      </c>
      <c r="F144" s="9"/>
      <c r="G144" s="9"/>
      <c r="H144" s="12">
        <v>100</v>
      </c>
      <c r="I144" s="9"/>
      <c r="J144" s="8"/>
    </row>
    <row r="145" spans="1:10" x14ac:dyDescent="0.25">
      <c r="A145" s="7">
        <v>140</v>
      </c>
      <c r="B145" s="7">
        <f t="shared" si="0"/>
        <v>10001100</v>
      </c>
      <c r="C145" s="7" t="str">
        <f t="shared" si="4"/>
        <v>8C</v>
      </c>
      <c r="D145" s="8" t="s">
        <v>341</v>
      </c>
      <c r="E145" s="9" t="s">
        <v>474</v>
      </c>
      <c r="F145" s="9"/>
      <c r="G145" s="9"/>
      <c r="H145" s="12">
        <v>100</v>
      </c>
      <c r="I145" s="9"/>
      <c r="J145" s="8"/>
    </row>
    <row r="146" spans="1:10" x14ac:dyDescent="0.25">
      <c r="A146" s="7">
        <v>141</v>
      </c>
      <c r="B146" s="7">
        <f t="shared" si="0"/>
        <v>10001101</v>
      </c>
      <c r="C146" s="7" t="str">
        <f t="shared" si="4"/>
        <v>8D</v>
      </c>
      <c r="D146" s="8" t="s">
        <v>341</v>
      </c>
      <c r="E146" s="9" t="s">
        <v>475</v>
      </c>
      <c r="F146" s="9"/>
      <c r="G146" s="9"/>
      <c r="H146" s="12">
        <v>100</v>
      </c>
      <c r="I146" s="9"/>
      <c r="J146" s="8"/>
    </row>
    <row r="147" spans="1:10" x14ac:dyDescent="0.25">
      <c r="A147" s="7">
        <v>142</v>
      </c>
      <c r="B147" s="7">
        <f t="shared" si="0"/>
        <v>10001110</v>
      </c>
      <c r="C147" s="7" t="str">
        <f t="shared" si="4"/>
        <v>8E</v>
      </c>
      <c r="D147" s="8" t="s">
        <v>341</v>
      </c>
      <c r="E147" s="9" t="s">
        <v>476</v>
      </c>
      <c r="F147" s="9"/>
      <c r="G147" s="9"/>
      <c r="H147" s="12">
        <v>100</v>
      </c>
      <c r="I147" s="9"/>
      <c r="J147" s="8"/>
    </row>
    <row r="148" spans="1:10" x14ac:dyDescent="0.25">
      <c r="A148" s="7">
        <v>143</v>
      </c>
      <c r="B148" s="7">
        <f t="shared" si="0"/>
        <v>10001111</v>
      </c>
      <c r="C148" s="7" t="str">
        <f t="shared" si="4"/>
        <v>8F</v>
      </c>
      <c r="D148" s="8" t="s">
        <v>341</v>
      </c>
      <c r="E148" s="9" t="s">
        <v>477</v>
      </c>
      <c r="F148" s="9"/>
      <c r="G148" s="9"/>
      <c r="H148" s="12">
        <v>100</v>
      </c>
      <c r="I148" s="9"/>
      <c r="J148" s="8"/>
    </row>
    <row r="149" spans="1:10" x14ac:dyDescent="0.25">
      <c r="A149" s="7">
        <v>144</v>
      </c>
      <c r="B149" s="7">
        <f t="shared" si="0"/>
        <v>10010000</v>
      </c>
      <c r="C149" s="7" t="str">
        <f t="shared" si="4"/>
        <v>90</v>
      </c>
      <c r="D149" s="8" t="s">
        <v>341</v>
      </c>
      <c r="E149" s="11"/>
      <c r="F149" s="11"/>
      <c r="G149" s="8"/>
      <c r="H149" s="7"/>
      <c r="I149" s="9"/>
      <c r="J149" s="8"/>
    </row>
    <row r="150" spans="1:10" x14ac:dyDescent="0.25">
      <c r="A150" s="7">
        <v>145</v>
      </c>
      <c r="B150" s="7">
        <f t="shared" si="0"/>
        <v>10010001</v>
      </c>
      <c r="C150" s="7" t="str">
        <f t="shared" si="4"/>
        <v>91</v>
      </c>
      <c r="D150" s="8" t="s">
        <v>341</v>
      </c>
      <c r="E150" s="11"/>
      <c r="F150" s="11"/>
      <c r="G150" s="8"/>
      <c r="H150" s="7"/>
      <c r="I150" s="9"/>
      <c r="J150" s="8"/>
    </row>
    <row r="151" spans="1:10" x14ac:dyDescent="0.25">
      <c r="A151" s="7">
        <v>146</v>
      </c>
      <c r="B151" s="7">
        <f t="shared" si="0"/>
        <v>10010010</v>
      </c>
      <c r="C151" s="7" t="str">
        <f t="shared" si="4"/>
        <v>92</v>
      </c>
      <c r="D151" s="8" t="s">
        <v>341</v>
      </c>
      <c r="E151" s="11"/>
      <c r="F151" s="11"/>
      <c r="G151" s="8"/>
      <c r="H151" s="7"/>
      <c r="I151" s="9"/>
      <c r="J151" s="8"/>
    </row>
    <row r="152" spans="1:10" x14ac:dyDescent="0.25">
      <c r="A152" s="7">
        <v>147</v>
      </c>
      <c r="B152" s="7">
        <f t="shared" si="0"/>
        <v>10010011</v>
      </c>
      <c r="C152" s="7" t="str">
        <f t="shared" si="4"/>
        <v>93</v>
      </c>
      <c r="D152" s="8" t="s">
        <v>341</v>
      </c>
      <c r="E152" s="8"/>
      <c r="F152" s="8"/>
      <c r="G152" s="8"/>
      <c r="H152" s="7"/>
      <c r="I152" s="9"/>
      <c r="J152" s="8"/>
    </row>
    <row r="153" spans="1:10" x14ac:dyDescent="0.25">
      <c r="A153" s="7">
        <v>148</v>
      </c>
      <c r="B153" s="7">
        <f t="shared" si="0"/>
        <v>10010100</v>
      </c>
      <c r="C153" s="7" t="str">
        <f t="shared" si="4"/>
        <v>94</v>
      </c>
      <c r="D153" s="8" t="s">
        <v>341</v>
      </c>
      <c r="E153" s="8"/>
      <c r="F153" s="8"/>
      <c r="G153" s="9"/>
      <c r="H153" s="12"/>
      <c r="I153" s="9"/>
      <c r="J153" s="8"/>
    </row>
    <row r="154" spans="1:10" x14ac:dyDescent="0.25">
      <c r="A154" s="7">
        <v>149</v>
      </c>
      <c r="B154" s="7">
        <f t="shared" si="0"/>
        <v>10010101</v>
      </c>
      <c r="C154" s="7" t="str">
        <f t="shared" si="4"/>
        <v>95</v>
      </c>
      <c r="D154" s="8" t="s">
        <v>341</v>
      </c>
      <c r="E154" s="8"/>
      <c r="F154" s="8"/>
      <c r="G154" s="9"/>
      <c r="H154" s="12"/>
      <c r="I154" s="9"/>
      <c r="J154" s="8"/>
    </row>
    <row r="155" spans="1:10" x14ac:dyDescent="0.25">
      <c r="A155" s="7">
        <v>150</v>
      </c>
      <c r="B155" s="7">
        <f t="shared" si="0"/>
        <v>10010110</v>
      </c>
      <c r="C155" s="7" t="str">
        <f t="shared" si="4"/>
        <v>96</v>
      </c>
      <c r="D155" s="8" t="s">
        <v>341</v>
      </c>
      <c r="E155" s="9"/>
      <c r="F155" s="9"/>
      <c r="G155" s="9"/>
      <c r="H155" s="12"/>
      <c r="I155" s="9"/>
      <c r="J155" s="8"/>
    </row>
    <row r="156" spans="1:10" x14ac:dyDescent="0.25">
      <c r="A156" s="7">
        <v>151</v>
      </c>
      <c r="B156" s="7">
        <f t="shared" si="0"/>
        <v>10010111</v>
      </c>
      <c r="C156" s="7" t="str">
        <f t="shared" si="4"/>
        <v>97</v>
      </c>
      <c r="D156" s="8" t="s">
        <v>341</v>
      </c>
      <c r="E156" s="9"/>
      <c r="F156" s="9"/>
      <c r="G156" s="9"/>
      <c r="H156" s="12"/>
      <c r="I156" s="9"/>
      <c r="J156" s="8"/>
    </row>
    <row r="157" spans="1:10" x14ac:dyDescent="0.25">
      <c r="A157" s="7">
        <v>152</v>
      </c>
      <c r="B157" s="7">
        <f t="shared" si="0"/>
        <v>10011000</v>
      </c>
      <c r="C157" s="7" t="str">
        <f t="shared" si="4"/>
        <v>98</v>
      </c>
      <c r="D157" s="8" t="s">
        <v>341</v>
      </c>
      <c r="E157" s="9"/>
      <c r="F157" s="9"/>
      <c r="G157" s="9"/>
      <c r="H157" s="12"/>
      <c r="I157" s="9"/>
      <c r="J157" s="8"/>
    </row>
    <row r="158" spans="1:10" x14ac:dyDescent="0.25">
      <c r="A158" s="7">
        <v>153</v>
      </c>
      <c r="B158" s="7">
        <f t="shared" si="0"/>
        <v>10011001</v>
      </c>
      <c r="C158" s="7" t="str">
        <f t="shared" si="4"/>
        <v>99</v>
      </c>
      <c r="D158" s="8" t="s">
        <v>341</v>
      </c>
      <c r="E158" s="9"/>
      <c r="F158" s="9"/>
      <c r="G158" s="9"/>
      <c r="H158" s="12"/>
      <c r="I158" s="9"/>
      <c r="J158" s="8"/>
    </row>
    <row r="159" spans="1:10" x14ac:dyDescent="0.25">
      <c r="A159" s="7">
        <v>154</v>
      </c>
      <c r="B159" s="7">
        <f t="shared" si="0"/>
        <v>10011010</v>
      </c>
      <c r="C159" s="7" t="str">
        <f>DEC2HEX(A159)</f>
        <v>9A</v>
      </c>
      <c r="D159" s="8" t="s">
        <v>341</v>
      </c>
      <c r="E159" s="9"/>
      <c r="F159" s="9"/>
      <c r="G159" s="9"/>
      <c r="H159" s="12"/>
      <c r="I159" s="9"/>
      <c r="J159" s="8"/>
    </row>
    <row r="160" spans="1:10" x14ac:dyDescent="0.25">
      <c r="A160" s="7">
        <v>155</v>
      </c>
      <c r="B160" s="7">
        <f t="shared" si="0"/>
        <v>10011011</v>
      </c>
      <c r="C160" s="7" t="str">
        <f t="shared" ref="C160:C174" si="5">DEC2HEX(A160)</f>
        <v>9B</v>
      </c>
      <c r="D160" s="8" t="s">
        <v>341</v>
      </c>
      <c r="E160" s="8"/>
      <c r="F160" s="8"/>
      <c r="G160" s="8"/>
      <c r="H160" s="7"/>
      <c r="I160" s="9"/>
      <c r="J160" s="8"/>
    </row>
    <row r="161" spans="1:10" x14ac:dyDescent="0.25">
      <c r="A161" s="7">
        <v>156</v>
      </c>
      <c r="B161" s="7">
        <f t="shared" si="0"/>
        <v>10011100</v>
      </c>
      <c r="C161" s="7" t="str">
        <f t="shared" si="5"/>
        <v>9C</v>
      </c>
      <c r="D161" s="8" t="s">
        <v>341</v>
      </c>
      <c r="E161" s="8"/>
      <c r="F161" s="8"/>
      <c r="G161" s="8"/>
      <c r="H161" s="7"/>
      <c r="I161" s="9"/>
      <c r="J161" s="8"/>
    </row>
    <row r="162" spans="1:10" x14ac:dyDescent="0.25">
      <c r="A162" s="7">
        <v>157</v>
      </c>
      <c r="B162" s="7">
        <f t="shared" si="0"/>
        <v>10011101</v>
      </c>
      <c r="C162" s="7" t="str">
        <f t="shared" si="5"/>
        <v>9D</v>
      </c>
      <c r="D162" s="8" t="s">
        <v>341</v>
      </c>
      <c r="E162" s="8"/>
      <c r="F162" s="8"/>
      <c r="G162" s="8"/>
      <c r="H162" s="7"/>
      <c r="I162" s="9"/>
      <c r="J162" s="8"/>
    </row>
    <row r="163" spans="1:10" x14ac:dyDescent="0.25">
      <c r="A163" s="7">
        <v>158</v>
      </c>
      <c r="B163" s="7">
        <f t="shared" si="0"/>
        <v>10011110</v>
      </c>
      <c r="C163" s="7" t="str">
        <f t="shared" si="5"/>
        <v>9E</v>
      </c>
      <c r="D163" s="8" t="s">
        <v>341</v>
      </c>
      <c r="E163" s="8"/>
      <c r="F163" s="8"/>
      <c r="G163" s="8"/>
      <c r="H163" s="7"/>
      <c r="I163" s="9"/>
      <c r="J163" s="8"/>
    </row>
    <row r="164" spans="1:10" x14ac:dyDescent="0.25">
      <c r="A164" s="7">
        <v>159</v>
      </c>
      <c r="B164" s="7">
        <f t="shared" si="0"/>
        <v>10011111</v>
      </c>
      <c r="C164" s="7" t="str">
        <f t="shared" si="5"/>
        <v>9F</v>
      </c>
      <c r="D164" s="8" t="s">
        <v>341</v>
      </c>
      <c r="E164" s="8"/>
      <c r="F164" s="8"/>
      <c r="G164" s="8"/>
      <c r="H164" s="7"/>
      <c r="I164" s="9"/>
      <c r="J164" s="8"/>
    </row>
    <row r="165" spans="1:10" x14ac:dyDescent="0.25">
      <c r="A165" s="7">
        <v>160</v>
      </c>
      <c r="B165" s="7">
        <f t="shared" si="0"/>
        <v>10100000</v>
      </c>
      <c r="C165" s="7" t="str">
        <f t="shared" si="5"/>
        <v>A0</v>
      </c>
      <c r="D165" s="8" t="s">
        <v>341</v>
      </c>
      <c r="E165" s="9"/>
      <c r="F165" s="9"/>
      <c r="G165" s="9"/>
      <c r="H165" s="12"/>
      <c r="I165" s="9"/>
      <c r="J165" s="8"/>
    </row>
    <row r="166" spans="1:10" x14ac:dyDescent="0.25">
      <c r="A166" s="7">
        <v>161</v>
      </c>
      <c r="B166" s="7">
        <f t="shared" si="0"/>
        <v>10100001</v>
      </c>
      <c r="C166" s="7" t="str">
        <f t="shared" si="5"/>
        <v>A1</v>
      </c>
      <c r="D166" s="8" t="s">
        <v>341</v>
      </c>
      <c r="E166" s="9"/>
      <c r="F166" s="9"/>
      <c r="G166" s="9"/>
      <c r="H166" s="12"/>
      <c r="I166" s="9"/>
      <c r="J166" s="8"/>
    </row>
    <row r="167" spans="1:10" x14ac:dyDescent="0.25">
      <c r="A167" s="7">
        <v>162</v>
      </c>
      <c r="B167" s="7">
        <f t="shared" si="0"/>
        <v>10100010</v>
      </c>
      <c r="C167" s="7" t="str">
        <f t="shared" si="5"/>
        <v>A2</v>
      </c>
      <c r="D167" s="8" t="s">
        <v>341</v>
      </c>
      <c r="E167" s="8"/>
      <c r="F167" s="8"/>
      <c r="G167" s="8"/>
      <c r="H167" s="7"/>
      <c r="I167" s="8"/>
      <c r="J167" s="8"/>
    </row>
    <row r="168" spans="1:10" x14ac:dyDescent="0.25">
      <c r="A168" s="7">
        <v>163</v>
      </c>
      <c r="B168" s="7">
        <f t="shared" si="0"/>
        <v>10100011</v>
      </c>
      <c r="C168" s="7" t="str">
        <f t="shared" si="5"/>
        <v>A3</v>
      </c>
      <c r="D168" s="8" t="s">
        <v>341</v>
      </c>
      <c r="E168" s="8"/>
      <c r="F168" s="8"/>
      <c r="G168" s="8"/>
      <c r="H168" s="7"/>
      <c r="I168" s="8"/>
      <c r="J168" s="8"/>
    </row>
    <row r="169" spans="1:10" x14ac:dyDescent="0.25">
      <c r="A169" s="7">
        <v>164</v>
      </c>
      <c r="B169" s="7">
        <f t="shared" si="0"/>
        <v>10100100</v>
      </c>
      <c r="C169" s="7" t="str">
        <f t="shared" si="5"/>
        <v>A4</v>
      </c>
      <c r="D169" s="8" t="s">
        <v>341</v>
      </c>
      <c r="E169" s="8"/>
      <c r="F169" s="8"/>
      <c r="G169" s="8"/>
      <c r="H169" s="7"/>
      <c r="I169" s="8"/>
      <c r="J169" s="8"/>
    </row>
    <row r="170" spans="1:10" x14ac:dyDescent="0.25">
      <c r="A170" s="7">
        <v>165</v>
      </c>
      <c r="B170" s="7">
        <f t="shared" si="0"/>
        <v>10100101</v>
      </c>
      <c r="C170" s="7" t="str">
        <f t="shared" si="5"/>
        <v>A5</v>
      </c>
      <c r="D170" s="8" t="s">
        <v>341</v>
      </c>
      <c r="E170" s="8"/>
      <c r="F170" s="8"/>
      <c r="G170" s="8"/>
      <c r="H170" s="7"/>
      <c r="I170" s="8"/>
      <c r="J170" s="9"/>
    </row>
    <row r="171" spans="1:10" x14ac:dyDescent="0.25">
      <c r="A171" s="7">
        <v>166</v>
      </c>
      <c r="B171" s="7">
        <f t="shared" si="0"/>
        <v>10100110</v>
      </c>
      <c r="C171" s="7" t="str">
        <f t="shared" si="5"/>
        <v>A6</v>
      </c>
      <c r="D171" s="8" t="s">
        <v>341</v>
      </c>
      <c r="E171" s="8"/>
      <c r="F171" s="8"/>
      <c r="G171" s="8"/>
      <c r="H171" s="7"/>
      <c r="I171" s="8"/>
      <c r="J171" s="9"/>
    </row>
    <row r="172" spans="1:10" x14ac:dyDescent="0.25">
      <c r="A172" s="7">
        <v>167</v>
      </c>
      <c r="B172" s="7">
        <f t="shared" si="0"/>
        <v>10100111</v>
      </c>
      <c r="C172" s="7" t="str">
        <f t="shared" si="5"/>
        <v>A7</v>
      </c>
      <c r="D172" s="8" t="s">
        <v>341</v>
      </c>
      <c r="E172" s="9"/>
      <c r="F172" s="9"/>
      <c r="G172" s="9"/>
      <c r="H172" s="12"/>
      <c r="I172" s="9"/>
      <c r="J172" s="9"/>
    </row>
    <row r="173" spans="1:10" x14ac:dyDescent="0.25">
      <c r="A173" s="7">
        <v>168</v>
      </c>
      <c r="B173" s="7">
        <f t="shared" si="0"/>
        <v>10101000</v>
      </c>
      <c r="C173" s="7" t="str">
        <f t="shared" si="5"/>
        <v>A8</v>
      </c>
      <c r="D173" s="8" t="s">
        <v>341</v>
      </c>
      <c r="E173" s="9"/>
      <c r="F173" s="9"/>
      <c r="G173" s="9"/>
      <c r="H173" s="12"/>
      <c r="I173" s="9"/>
      <c r="J173" s="9"/>
    </row>
    <row r="174" spans="1:10" x14ac:dyDescent="0.25">
      <c r="A174" s="7">
        <v>169</v>
      </c>
      <c r="B174" s="7">
        <f t="shared" si="0"/>
        <v>10101001</v>
      </c>
      <c r="C174" s="7" t="str">
        <f t="shared" si="5"/>
        <v>A9</v>
      </c>
      <c r="D174" s="8" t="s">
        <v>341</v>
      </c>
      <c r="E174" s="9"/>
      <c r="F174" s="9"/>
      <c r="G174" s="9"/>
      <c r="H174" s="12"/>
      <c r="I174" s="9"/>
      <c r="J174" s="9"/>
    </row>
    <row r="175" spans="1:10" x14ac:dyDescent="0.25">
      <c r="A175" s="7">
        <v>170</v>
      </c>
      <c r="B175" s="7">
        <f t="shared" si="0"/>
        <v>10101010</v>
      </c>
      <c r="C175" s="7" t="str">
        <f>DEC2HEX(A175)</f>
        <v>AA</v>
      </c>
      <c r="D175" s="8" t="s">
        <v>341</v>
      </c>
      <c r="E175" s="9"/>
      <c r="F175" s="9"/>
      <c r="G175" s="9"/>
      <c r="H175" s="12"/>
      <c r="I175" s="9"/>
      <c r="J175" s="9"/>
    </row>
    <row r="176" spans="1:10" x14ac:dyDescent="0.25">
      <c r="A176" s="7">
        <v>171</v>
      </c>
      <c r="B176" s="7">
        <f t="shared" si="0"/>
        <v>10101011</v>
      </c>
      <c r="C176" s="7" t="str">
        <f t="shared" ref="C176:C181" si="6">DEC2HEX(A176)</f>
        <v>AB</v>
      </c>
      <c r="D176" s="8" t="s">
        <v>341</v>
      </c>
      <c r="E176" s="9"/>
      <c r="F176" s="9"/>
      <c r="G176" s="9"/>
      <c r="H176" s="12"/>
      <c r="I176" s="9"/>
      <c r="J176" s="9"/>
    </row>
    <row r="177" spans="1:10" x14ac:dyDescent="0.25">
      <c r="A177" s="7">
        <v>172</v>
      </c>
      <c r="B177" s="7">
        <f t="shared" si="0"/>
        <v>10101100</v>
      </c>
      <c r="C177" s="7" t="str">
        <f t="shared" si="6"/>
        <v>AC</v>
      </c>
      <c r="D177" s="8" t="s">
        <v>341</v>
      </c>
      <c r="E177" s="9"/>
      <c r="F177" s="9"/>
      <c r="G177" s="9"/>
      <c r="H177" s="12"/>
      <c r="I177" s="9"/>
      <c r="J177" s="9"/>
    </row>
    <row r="178" spans="1:10" x14ac:dyDescent="0.25">
      <c r="A178" s="7">
        <v>173</v>
      </c>
      <c r="B178" s="7">
        <f t="shared" si="0"/>
        <v>10101101</v>
      </c>
      <c r="C178" s="7" t="str">
        <f t="shared" si="6"/>
        <v>AD</v>
      </c>
      <c r="D178" s="8" t="s">
        <v>341</v>
      </c>
      <c r="E178" s="9"/>
      <c r="F178" s="9"/>
      <c r="G178" s="9"/>
      <c r="H178" s="12"/>
      <c r="I178" s="9"/>
      <c r="J178" s="9"/>
    </row>
    <row r="179" spans="1:10" x14ac:dyDescent="0.25">
      <c r="A179" s="7">
        <v>174</v>
      </c>
      <c r="B179" s="7">
        <f t="shared" si="0"/>
        <v>10101110</v>
      </c>
      <c r="C179" s="7" t="str">
        <f t="shared" si="6"/>
        <v>AE</v>
      </c>
      <c r="D179" s="8" t="s">
        <v>341</v>
      </c>
      <c r="E179" s="9"/>
      <c r="F179" s="9"/>
      <c r="G179" s="9"/>
      <c r="H179" s="12"/>
      <c r="I179" s="8"/>
      <c r="J179" s="9"/>
    </row>
    <row r="180" spans="1:10" x14ac:dyDescent="0.25">
      <c r="A180" s="7">
        <v>175</v>
      </c>
      <c r="B180" s="7">
        <f t="shared" si="0"/>
        <v>10101111</v>
      </c>
      <c r="C180" s="7" t="str">
        <f t="shared" si="6"/>
        <v>AF</v>
      </c>
      <c r="D180" s="8" t="s">
        <v>341</v>
      </c>
      <c r="E180" s="9"/>
      <c r="F180" s="9"/>
      <c r="G180" s="9"/>
      <c r="H180" s="12"/>
      <c r="I180" s="8"/>
      <c r="J180" s="9"/>
    </row>
    <row r="181" spans="1:10" x14ac:dyDescent="0.25">
      <c r="A181" s="7">
        <v>176</v>
      </c>
      <c r="B181" s="7">
        <f t="shared" si="0"/>
        <v>10110000</v>
      </c>
      <c r="C181" s="7" t="str">
        <f t="shared" si="6"/>
        <v>B0</v>
      </c>
      <c r="D181" s="8" t="s">
        <v>341</v>
      </c>
      <c r="E181" s="9"/>
      <c r="F181" s="9"/>
      <c r="G181" s="9"/>
      <c r="H181" s="12"/>
      <c r="I181" s="9"/>
      <c r="J181" s="9"/>
    </row>
    <row r="182" spans="1:10" x14ac:dyDescent="0.25">
      <c r="A182" s="7">
        <v>177</v>
      </c>
      <c r="B182" s="7">
        <f t="shared" si="0"/>
        <v>10110001</v>
      </c>
      <c r="C182" s="7" t="str">
        <f t="shared" si="1"/>
        <v>B1</v>
      </c>
      <c r="D182" s="8" t="s">
        <v>341</v>
      </c>
      <c r="E182" s="9"/>
      <c r="F182" s="9"/>
      <c r="G182" s="9"/>
      <c r="H182" s="12"/>
      <c r="I182" s="9"/>
      <c r="J182" s="9"/>
    </row>
    <row r="183" spans="1:10" x14ac:dyDescent="0.25">
      <c r="A183" s="7">
        <v>178</v>
      </c>
      <c r="B183" s="7">
        <f t="shared" si="0"/>
        <v>10110010</v>
      </c>
      <c r="C183" s="7" t="str">
        <f t="shared" si="1"/>
        <v>B2</v>
      </c>
      <c r="D183" s="8" t="s">
        <v>341</v>
      </c>
      <c r="E183" s="9"/>
      <c r="F183" s="9"/>
      <c r="G183" s="9"/>
      <c r="H183" s="12"/>
      <c r="I183" s="9"/>
      <c r="J183" s="9"/>
    </row>
    <row r="184" spans="1:10" x14ac:dyDescent="0.25">
      <c r="A184" s="7">
        <v>179</v>
      </c>
      <c r="B184" s="7">
        <f t="shared" si="0"/>
        <v>10110011</v>
      </c>
      <c r="C184" s="7" t="str">
        <f t="shared" si="1"/>
        <v>B3</v>
      </c>
      <c r="D184" s="8" t="s">
        <v>341</v>
      </c>
      <c r="E184" s="9"/>
      <c r="F184" s="9"/>
      <c r="G184" s="9"/>
      <c r="H184" s="12"/>
      <c r="I184" s="9"/>
      <c r="J184" s="9"/>
    </row>
    <row r="185" spans="1:10" x14ac:dyDescent="0.25">
      <c r="A185" s="7">
        <v>180</v>
      </c>
      <c r="B185" s="7">
        <f t="shared" si="0"/>
        <v>10110100</v>
      </c>
      <c r="C185" s="7" t="str">
        <f t="shared" si="1"/>
        <v>B4</v>
      </c>
      <c r="D185" s="8" t="s">
        <v>341</v>
      </c>
      <c r="E185" s="8"/>
      <c r="F185" s="8"/>
      <c r="G185" s="8"/>
      <c r="H185" s="7"/>
      <c r="I185" s="9"/>
      <c r="J185" s="9"/>
    </row>
    <row r="186" spans="1:10" x14ac:dyDescent="0.25">
      <c r="A186" s="7">
        <v>181</v>
      </c>
      <c r="B186" s="7">
        <f t="shared" si="0"/>
        <v>10110101</v>
      </c>
      <c r="C186" s="7" t="str">
        <f t="shared" si="1"/>
        <v>B5</v>
      </c>
      <c r="D186" s="8" t="s">
        <v>341</v>
      </c>
      <c r="E186" s="8"/>
      <c r="F186" s="8"/>
      <c r="G186" s="8"/>
      <c r="H186" s="7"/>
      <c r="I186" s="9"/>
      <c r="J186" s="9"/>
    </row>
    <row r="187" spans="1:10" x14ac:dyDescent="0.25">
      <c r="A187" s="7">
        <v>182</v>
      </c>
      <c r="B187" s="7">
        <f t="shared" si="0"/>
        <v>10110110</v>
      </c>
      <c r="C187" s="7" t="str">
        <f t="shared" si="1"/>
        <v>B6</v>
      </c>
      <c r="D187" s="8" t="s">
        <v>341</v>
      </c>
      <c r="E187" s="8"/>
      <c r="F187" s="8"/>
      <c r="G187" s="8"/>
      <c r="H187" s="7"/>
      <c r="I187" s="9"/>
      <c r="J187" s="9"/>
    </row>
    <row r="188" spans="1:10" x14ac:dyDescent="0.25">
      <c r="A188" s="7">
        <v>183</v>
      </c>
      <c r="B188" s="7">
        <f t="shared" si="0"/>
        <v>10110111</v>
      </c>
      <c r="C188" s="7" t="str">
        <f t="shared" si="1"/>
        <v>B7</v>
      </c>
      <c r="D188" s="8" t="s">
        <v>341</v>
      </c>
      <c r="E188" s="8"/>
      <c r="F188" s="8"/>
      <c r="G188" s="8"/>
      <c r="H188" s="7"/>
      <c r="I188" s="9"/>
      <c r="J188" s="9"/>
    </row>
    <row r="189" spans="1:10" x14ac:dyDescent="0.25">
      <c r="A189" s="7">
        <v>184</v>
      </c>
      <c r="B189" s="7">
        <f t="shared" si="0"/>
        <v>10111000</v>
      </c>
      <c r="C189" s="7" t="str">
        <f t="shared" si="1"/>
        <v>B8</v>
      </c>
      <c r="D189" s="8" t="s">
        <v>341</v>
      </c>
      <c r="E189" s="8"/>
      <c r="F189" s="8"/>
      <c r="G189" s="8"/>
      <c r="H189" s="7"/>
      <c r="I189" s="9"/>
      <c r="J189" s="9"/>
    </row>
    <row r="190" spans="1:10" x14ac:dyDescent="0.25">
      <c r="A190" s="7">
        <v>185</v>
      </c>
      <c r="B190" s="7">
        <f t="shared" si="0"/>
        <v>10111001</v>
      </c>
      <c r="C190" s="7" t="str">
        <f t="shared" si="1"/>
        <v>B9</v>
      </c>
      <c r="D190" s="8" t="s">
        <v>341</v>
      </c>
      <c r="E190" s="8"/>
      <c r="F190" s="8"/>
      <c r="G190" s="8"/>
      <c r="H190" s="7"/>
      <c r="I190" s="9"/>
      <c r="J190" s="9"/>
    </row>
    <row r="191" spans="1:10" x14ac:dyDescent="0.25">
      <c r="A191" s="7">
        <v>186</v>
      </c>
      <c r="B191" s="7">
        <f t="shared" si="0"/>
        <v>10111010</v>
      </c>
      <c r="C191" s="7" t="str">
        <f t="shared" si="1"/>
        <v>BA</v>
      </c>
      <c r="D191" s="8" t="s">
        <v>341</v>
      </c>
      <c r="E191" s="8"/>
      <c r="F191" s="8"/>
      <c r="G191" s="8"/>
      <c r="H191" s="7"/>
      <c r="I191" s="9"/>
      <c r="J191" s="9"/>
    </row>
    <row r="192" spans="1:10" x14ac:dyDescent="0.25">
      <c r="A192" s="7">
        <v>187</v>
      </c>
      <c r="B192" s="7">
        <f t="shared" si="0"/>
        <v>10111011</v>
      </c>
      <c r="C192" s="7" t="str">
        <f t="shared" si="1"/>
        <v>BB</v>
      </c>
      <c r="D192" s="8" t="s">
        <v>341</v>
      </c>
      <c r="E192" s="8"/>
      <c r="F192" s="8"/>
      <c r="G192" s="8"/>
      <c r="H192" s="7"/>
      <c r="I192" s="9"/>
      <c r="J192" s="9"/>
    </row>
    <row r="193" spans="1:10" x14ac:dyDescent="0.25">
      <c r="A193" s="7">
        <v>188</v>
      </c>
      <c r="B193" s="7">
        <f t="shared" si="0"/>
        <v>10111100</v>
      </c>
      <c r="C193" s="7" t="str">
        <f t="shared" si="1"/>
        <v>BC</v>
      </c>
      <c r="D193" s="8" t="s">
        <v>341</v>
      </c>
      <c r="E193" s="8"/>
      <c r="F193" s="8"/>
      <c r="G193" s="8"/>
      <c r="H193" s="7"/>
      <c r="I193" s="9"/>
      <c r="J193" s="9"/>
    </row>
    <row r="194" spans="1:10" x14ac:dyDescent="0.25">
      <c r="A194" s="7">
        <v>189</v>
      </c>
      <c r="B194" s="7">
        <f t="shared" si="0"/>
        <v>10111101</v>
      </c>
      <c r="C194" s="7" t="str">
        <f t="shared" si="1"/>
        <v>BD</v>
      </c>
      <c r="D194" s="8" t="s">
        <v>341</v>
      </c>
      <c r="E194" s="8"/>
      <c r="F194" s="8"/>
      <c r="G194" s="8"/>
      <c r="H194" s="7"/>
      <c r="I194" s="9"/>
      <c r="J194" s="9"/>
    </row>
    <row r="195" spans="1:10" x14ac:dyDescent="0.25">
      <c r="A195" s="7">
        <v>190</v>
      </c>
      <c r="B195" s="7">
        <f t="shared" si="0"/>
        <v>10111110</v>
      </c>
      <c r="C195" s="7" t="str">
        <f t="shared" si="1"/>
        <v>BE</v>
      </c>
      <c r="D195" s="8" t="s">
        <v>341</v>
      </c>
      <c r="E195" s="8"/>
      <c r="F195" s="8"/>
      <c r="G195" s="8"/>
      <c r="H195" s="7"/>
      <c r="I195" s="9"/>
      <c r="J195" s="9"/>
    </row>
    <row r="196" spans="1:10" x14ac:dyDescent="0.25">
      <c r="A196" s="7">
        <v>191</v>
      </c>
      <c r="B196" s="7">
        <f t="shared" si="0"/>
        <v>10111111</v>
      </c>
      <c r="C196" s="7" t="str">
        <f t="shared" si="1"/>
        <v>BF</v>
      </c>
      <c r="D196" s="8" t="s">
        <v>341</v>
      </c>
      <c r="E196" s="9"/>
      <c r="F196" s="9"/>
      <c r="G196" s="9"/>
      <c r="H196" s="12"/>
      <c r="I196" s="9"/>
      <c r="J196" s="9"/>
    </row>
    <row r="197" spans="1:10" x14ac:dyDescent="0.25">
      <c r="A197" s="7">
        <v>192</v>
      </c>
      <c r="B197" s="7">
        <f t="shared" si="0"/>
        <v>11000000</v>
      </c>
      <c r="C197" s="7" t="str">
        <f t="shared" si="1"/>
        <v>C0</v>
      </c>
      <c r="D197" s="8" t="s">
        <v>307</v>
      </c>
      <c r="E197" s="9"/>
      <c r="F197" s="9"/>
      <c r="G197" s="9"/>
      <c r="H197" s="12"/>
      <c r="I197" s="9"/>
      <c r="J197" s="9"/>
    </row>
    <row r="198" spans="1:10" x14ac:dyDescent="0.25">
      <c r="A198" s="7">
        <v>193</v>
      </c>
      <c r="B198" s="7">
        <f t="shared" si="0"/>
        <v>11000001</v>
      </c>
      <c r="C198" s="7" t="str">
        <f t="shared" si="1"/>
        <v>C1</v>
      </c>
      <c r="D198" s="8" t="s">
        <v>307</v>
      </c>
      <c r="E198" s="9"/>
      <c r="F198" s="9"/>
      <c r="G198" s="9"/>
      <c r="H198" s="12"/>
      <c r="I198" s="9"/>
      <c r="J198" s="9"/>
    </row>
    <row r="199" spans="1:10" x14ac:dyDescent="0.25">
      <c r="A199" s="7">
        <v>194</v>
      </c>
      <c r="B199" s="7">
        <f t="shared" si="0"/>
        <v>11000010</v>
      </c>
      <c r="C199" s="7" t="str">
        <f t="shared" si="1"/>
        <v>C2</v>
      </c>
      <c r="D199" s="8" t="s">
        <v>307</v>
      </c>
      <c r="E199" s="9"/>
      <c r="F199" s="9"/>
      <c r="G199" s="9"/>
      <c r="H199" s="12"/>
      <c r="I199" s="9"/>
      <c r="J199" s="9"/>
    </row>
    <row r="200" spans="1:10" x14ac:dyDescent="0.25">
      <c r="A200" s="7">
        <v>195</v>
      </c>
      <c r="B200" s="7">
        <f t="shared" si="0"/>
        <v>11000011</v>
      </c>
      <c r="C200" s="7" t="str">
        <f t="shared" si="1"/>
        <v>C3</v>
      </c>
      <c r="D200" s="8" t="s">
        <v>307</v>
      </c>
      <c r="E200" s="9"/>
      <c r="F200" s="9"/>
      <c r="G200" s="9"/>
      <c r="H200" s="12"/>
      <c r="I200" s="9"/>
      <c r="J200" s="9"/>
    </row>
    <row r="201" spans="1:10" x14ac:dyDescent="0.25">
      <c r="A201" s="7">
        <v>196</v>
      </c>
      <c r="B201" s="7">
        <f t="shared" si="0"/>
        <v>11000100</v>
      </c>
      <c r="C201" s="7" t="str">
        <f t="shared" si="1"/>
        <v>C4</v>
      </c>
      <c r="D201" s="8" t="s">
        <v>138</v>
      </c>
      <c r="E201" s="9"/>
      <c r="F201" s="9"/>
      <c r="G201" s="9"/>
      <c r="H201" s="12"/>
      <c r="I201" s="9"/>
      <c r="J201" s="9"/>
    </row>
    <row r="202" spans="1:10" x14ac:dyDescent="0.25">
      <c r="A202" s="7">
        <v>197</v>
      </c>
      <c r="B202" s="7">
        <f t="shared" si="0"/>
        <v>11000101</v>
      </c>
      <c r="C202" s="7" t="str">
        <f t="shared" si="1"/>
        <v>C5</v>
      </c>
      <c r="D202" s="8" t="s">
        <v>138</v>
      </c>
      <c r="E202" s="9"/>
      <c r="F202" s="9"/>
      <c r="G202" s="9"/>
      <c r="H202" s="12"/>
      <c r="I202" s="9"/>
      <c r="J202" s="9"/>
    </row>
    <row r="203" spans="1:10" x14ac:dyDescent="0.25">
      <c r="A203" s="7">
        <v>198</v>
      </c>
      <c r="B203" s="7">
        <f t="shared" si="0"/>
        <v>11000110</v>
      </c>
      <c r="C203" s="7" t="str">
        <f t="shared" si="1"/>
        <v>C6</v>
      </c>
      <c r="D203" s="8" t="s">
        <v>138</v>
      </c>
      <c r="E203" s="9"/>
      <c r="F203" s="9"/>
      <c r="G203" s="9"/>
      <c r="H203" s="12"/>
      <c r="I203" s="9"/>
      <c r="J203" s="9"/>
    </row>
    <row r="204" spans="1:10" x14ac:dyDescent="0.25">
      <c r="A204" s="7">
        <v>199</v>
      </c>
      <c r="B204" s="7">
        <f t="shared" si="0"/>
        <v>11000111</v>
      </c>
      <c r="C204" s="7" t="str">
        <f t="shared" si="1"/>
        <v>C7</v>
      </c>
      <c r="D204" s="8" t="s">
        <v>138</v>
      </c>
      <c r="E204" s="8"/>
      <c r="F204" s="8"/>
      <c r="G204" s="8"/>
      <c r="H204" s="7"/>
      <c r="I204" s="8"/>
      <c r="J204" s="9"/>
    </row>
    <row r="205" spans="1:10" x14ac:dyDescent="0.25">
      <c r="A205" s="7">
        <v>200</v>
      </c>
      <c r="B205" s="7">
        <f t="shared" si="0"/>
        <v>11001000</v>
      </c>
      <c r="C205" s="7" t="str">
        <f t="shared" si="1"/>
        <v>C8</v>
      </c>
      <c r="D205" s="8" t="s">
        <v>138</v>
      </c>
      <c r="E205" s="8"/>
      <c r="F205" s="8"/>
      <c r="G205" s="8"/>
      <c r="H205" s="7"/>
      <c r="I205" s="8"/>
      <c r="J205" s="9"/>
    </row>
    <row r="206" spans="1:10" x14ac:dyDescent="0.25">
      <c r="A206" s="7">
        <v>201</v>
      </c>
      <c r="B206" s="7">
        <f t="shared" si="0"/>
        <v>11001001</v>
      </c>
      <c r="C206" s="7" t="str">
        <f t="shared" si="1"/>
        <v>C9</v>
      </c>
      <c r="D206" s="8" t="s">
        <v>138</v>
      </c>
      <c r="E206" s="9"/>
      <c r="F206" s="9"/>
      <c r="G206" s="9"/>
      <c r="H206" s="12"/>
      <c r="I206" s="8"/>
      <c r="J206" s="9"/>
    </row>
    <row r="207" spans="1:10" x14ac:dyDescent="0.25">
      <c r="A207" s="7">
        <v>202</v>
      </c>
      <c r="B207" s="7">
        <f t="shared" si="0"/>
        <v>11001010</v>
      </c>
      <c r="C207" s="7" t="str">
        <f t="shared" si="1"/>
        <v>CA</v>
      </c>
      <c r="D207" s="8" t="s">
        <v>138</v>
      </c>
      <c r="E207" s="9"/>
      <c r="F207" s="9"/>
      <c r="G207" s="9"/>
      <c r="H207" s="12"/>
      <c r="I207" s="8"/>
      <c r="J207" s="9"/>
    </row>
    <row r="208" spans="1:10" x14ac:dyDescent="0.25">
      <c r="A208" s="7">
        <v>203</v>
      </c>
      <c r="B208" s="7">
        <f t="shared" si="0"/>
        <v>11001011</v>
      </c>
      <c r="C208" s="7" t="str">
        <f t="shared" si="1"/>
        <v>CB</v>
      </c>
      <c r="D208" s="8" t="s">
        <v>138</v>
      </c>
      <c r="E208" s="8"/>
      <c r="F208" s="8"/>
      <c r="G208" s="8"/>
      <c r="H208" s="7"/>
      <c r="I208" s="8"/>
      <c r="J208" s="9"/>
    </row>
    <row r="209" spans="1:10" x14ac:dyDescent="0.25">
      <c r="A209" s="7">
        <v>204</v>
      </c>
      <c r="B209" s="7">
        <f t="shared" si="0"/>
        <v>11001100</v>
      </c>
      <c r="C209" s="7" t="str">
        <f t="shared" si="1"/>
        <v>CC</v>
      </c>
      <c r="D209" s="8" t="s">
        <v>138</v>
      </c>
      <c r="E209" s="8"/>
      <c r="F209" s="8"/>
      <c r="G209" s="8"/>
      <c r="H209" s="7"/>
      <c r="I209" s="9"/>
      <c r="J209" s="9"/>
    </row>
    <row r="210" spans="1:10" x14ac:dyDescent="0.25">
      <c r="A210" s="7">
        <v>205</v>
      </c>
      <c r="B210" s="7">
        <f t="shared" si="0"/>
        <v>11001101</v>
      </c>
      <c r="C210" s="7" t="str">
        <f t="shared" si="1"/>
        <v>CD</v>
      </c>
      <c r="D210" s="8" t="s">
        <v>138</v>
      </c>
      <c r="E210" s="8"/>
      <c r="F210" s="8"/>
      <c r="G210" s="8"/>
      <c r="H210" s="7"/>
      <c r="I210" s="9"/>
      <c r="J210" s="9"/>
    </row>
    <row r="211" spans="1:10" x14ac:dyDescent="0.25">
      <c r="A211" s="7">
        <v>206</v>
      </c>
      <c r="B211" s="7">
        <f t="shared" si="0"/>
        <v>11001110</v>
      </c>
      <c r="C211" s="7" t="str">
        <f t="shared" si="1"/>
        <v>CE</v>
      </c>
      <c r="D211" s="8" t="s">
        <v>138</v>
      </c>
      <c r="E211" s="9"/>
      <c r="F211" s="9"/>
      <c r="G211" s="9"/>
      <c r="H211" s="12"/>
      <c r="I211" s="9"/>
      <c r="J211" s="9"/>
    </row>
    <row r="212" spans="1:10" x14ac:dyDescent="0.25">
      <c r="A212" s="7">
        <v>207</v>
      </c>
      <c r="B212" s="7">
        <f t="shared" si="0"/>
        <v>11001111</v>
      </c>
      <c r="C212" s="7" t="str">
        <f t="shared" si="1"/>
        <v>CF</v>
      </c>
      <c r="D212" s="8" t="s">
        <v>138</v>
      </c>
      <c r="E212" s="9"/>
      <c r="F212" s="9"/>
      <c r="G212" s="9"/>
      <c r="H212" s="12"/>
      <c r="I212" s="9"/>
      <c r="J212" s="8"/>
    </row>
    <row r="213" spans="1:10" x14ac:dyDescent="0.25">
      <c r="A213" s="7">
        <v>208</v>
      </c>
      <c r="B213" s="7">
        <f t="shared" si="0"/>
        <v>11010000</v>
      </c>
      <c r="C213" s="7" t="str">
        <f t="shared" si="1"/>
        <v>D0</v>
      </c>
      <c r="D213" s="8" t="s">
        <v>138</v>
      </c>
      <c r="E213" s="8"/>
      <c r="F213" s="8"/>
      <c r="G213" s="8"/>
      <c r="H213" s="7"/>
      <c r="I213" s="9"/>
      <c r="J213" s="8"/>
    </row>
    <row r="214" spans="1:10" x14ac:dyDescent="0.25">
      <c r="A214" s="7">
        <v>209</v>
      </c>
      <c r="B214" s="7">
        <f t="shared" si="0"/>
        <v>11010001</v>
      </c>
      <c r="C214" s="7" t="str">
        <f t="shared" si="1"/>
        <v>D1</v>
      </c>
      <c r="D214" s="8" t="s">
        <v>138</v>
      </c>
      <c r="E214" s="8"/>
      <c r="F214" s="8"/>
      <c r="G214" s="8"/>
      <c r="H214" s="7"/>
      <c r="I214" s="8"/>
      <c r="J214" s="8"/>
    </row>
    <row r="215" spans="1:10" x14ac:dyDescent="0.25">
      <c r="A215" s="7">
        <v>210</v>
      </c>
      <c r="B215" s="7">
        <f t="shared" si="0"/>
        <v>11010010</v>
      </c>
      <c r="C215" s="7" t="str">
        <f t="shared" si="1"/>
        <v>D2</v>
      </c>
      <c r="D215" s="8" t="s">
        <v>138</v>
      </c>
      <c r="E215" s="8"/>
      <c r="F215" s="8"/>
      <c r="G215" s="8"/>
      <c r="H215" s="7"/>
      <c r="I215" s="9"/>
      <c r="J215" s="8"/>
    </row>
    <row r="216" spans="1:10" x14ac:dyDescent="0.25">
      <c r="A216" s="7">
        <v>211</v>
      </c>
      <c r="B216" s="7">
        <f t="shared" si="0"/>
        <v>11010011</v>
      </c>
      <c r="C216" s="7" t="str">
        <f t="shared" si="1"/>
        <v>D3</v>
      </c>
      <c r="D216" s="8" t="s">
        <v>138</v>
      </c>
      <c r="E216" s="8"/>
      <c r="F216" s="8"/>
      <c r="G216" s="8"/>
      <c r="H216" s="7"/>
      <c r="I216" s="8"/>
      <c r="J216" s="8"/>
    </row>
    <row r="217" spans="1:10" x14ac:dyDescent="0.25">
      <c r="A217" s="7">
        <v>212</v>
      </c>
      <c r="B217" s="7">
        <f t="shared" si="0"/>
        <v>11010100</v>
      </c>
      <c r="C217" s="7" t="str">
        <f t="shared" si="1"/>
        <v>D4</v>
      </c>
      <c r="D217" s="8" t="s">
        <v>138</v>
      </c>
      <c r="E217" s="8"/>
      <c r="F217" s="8"/>
      <c r="G217" s="8"/>
      <c r="H217" s="7"/>
      <c r="I217" s="9"/>
      <c r="J217" s="8"/>
    </row>
    <row r="218" spans="1:10" x14ac:dyDescent="0.25">
      <c r="A218" s="7">
        <v>213</v>
      </c>
      <c r="B218" s="7">
        <f t="shared" si="0"/>
        <v>11010101</v>
      </c>
      <c r="C218" s="7" t="str">
        <f t="shared" si="1"/>
        <v>D5</v>
      </c>
      <c r="D218" s="8" t="s">
        <v>138</v>
      </c>
      <c r="E218" s="8"/>
      <c r="F218" s="8"/>
      <c r="G218" s="8"/>
      <c r="H218" s="7"/>
      <c r="I218" s="8"/>
      <c r="J218" s="8"/>
    </row>
    <row r="219" spans="1:10" x14ac:dyDescent="0.25">
      <c r="A219" s="7">
        <v>214</v>
      </c>
      <c r="B219" s="7">
        <f t="shared" si="0"/>
        <v>11010110</v>
      </c>
      <c r="C219" s="7" t="str">
        <f t="shared" si="1"/>
        <v>D6</v>
      </c>
      <c r="D219" s="8" t="s">
        <v>138</v>
      </c>
      <c r="E219" s="8"/>
      <c r="F219" s="8"/>
      <c r="G219" s="8"/>
      <c r="H219" s="7"/>
      <c r="I219" s="9"/>
      <c r="J219" s="8"/>
    </row>
    <row r="220" spans="1:10" x14ac:dyDescent="0.25">
      <c r="A220" s="7">
        <v>215</v>
      </c>
      <c r="B220" s="7">
        <f t="shared" si="0"/>
        <v>11010111</v>
      </c>
      <c r="C220" s="7" t="str">
        <f t="shared" si="1"/>
        <v>D7</v>
      </c>
      <c r="D220" s="8" t="s">
        <v>138</v>
      </c>
      <c r="E220" s="9"/>
      <c r="F220" s="9"/>
      <c r="G220" s="9"/>
      <c r="H220" s="12"/>
      <c r="I220" s="9"/>
      <c r="J220" s="8"/>
    </row>
    <row r="221" spans="1:10" x14ac:dyDescent="0.25">
      <c r="A221" s="7">
        <v>216</v>
      </c>
      <c r="B221" s="7">
        <f t="shared" si="0"/>
        <v>11011000</v>
      </c>
      <c r="C221" s="7" t="str">
        <f t="shared" si="1"/>
        <v>D8</v>
      </c>
      <c r="D221" s="8" t="s">
        <v>138</v>
      </c>
      <c r="E221" s="9"/>
      <c r="F221" s="9"/>
      <c r="G221" s="9"/>
      <c r="H221" s="12"/>
      <c r="I221" s="9"/>
      <c r="J221" s="8"/>
    </row>
    <row r="222" spans="1:10" x14ac:dyDescent="0.25">
      <c r="A222" s="7">
        <v>217</v>
      </c>
      <c r="B222" s="7">
        <f t="shared" si="0"/>
        <v>11011001</v>
      </c>
      <c r="C222" s="7" t="str">
        <f t="shared" si="1"/>
        <v>D9</v>
      </c>
      <c r="D222" s="8" t="s">
        <v>138</v>
      </c>
      <c r="E222" s="9"/>
      <c r="F222" s="9"/>
      <c r="G222" s="9"/>
      <c r="H222" s="12"/>
      <c r="I222" s="9"/>
      <c r="J222" s="8"/>
    </row>
    <row r="223" spans="1:10" x14ac:dyDescent="0.25">
      <c r="A223" s="7">
        <v>218</v>
      </c>
      <c r="B223" s="7">
        <f t="shared" si="0"/>
        <v>11011010</v>
      </c>
      <c r="C223" s="7" t="str">
        <f t="shared" si="1"/>
        <v>DA</v>
      </c>
      <c r="D223" s="8" t="s">
        <v>138</v>
      </c>
      <c r="E223" s="9"/>
      <c r="F223" s="9"/>
      <c r="G223" s="9"/>
      <c r="H223" s="12"/>
      <c r="I223" s="9"/>
      <c r="J223" s="8"/>
    </row>
    <row r="224" spans="1:10" x14ac:dyDescent="0.25">
      <c r="A224" s="7">
        <v>219</v>
      </c>
      <c r="B224" s="7">
        <f t="shared" si="0"/>
        <v>11011011</v>
      </c>
      <c r="C224" s="7" t="str">
        <f t="shared" si="1"/>
        <v>DB</v>
      </c>
      <c r="D224" s="8" t="s">
        <v>138</v>
      </c>
      <c r="E224" s="9"/>
      <c r="F224" s="9"/>
      <c r="G224" s="9"/>
      <c r="H224" s="12"/>
      <c r="I224" s="9"/>
      <c r="J224" s="8"/>
    </row>
    <row r="225" spans="1:10" x14ac:dyDescent="0.25">
      <c r="A225" s="7">
        <v>220</v>
      </c>
      <c r="B225" s="7">
        <f t="shared" si="0"/>
        <v>11011100</v>
      </c>
      <c r="C225" s="7" t="str">
        <f t="shared" si="1"/>
        <v>DC</v>
      </c>
      <c r="D225" s="8" t="s">
        <v>138</v>
      </c>
      <c r="E225" s="9"/>
      <c r="F225" s="9"/>
      <c r="G225" s="9"/>
      <c r="H225" s="12"/>
      <c r="I225" s="9"/>
      <c r="J225" s="8"/>
    </row>
    <row r="226" spans="1:10" x14ac:dyDescent="0.25">
      <c r="A226" s="7">
        <v>221</v>
      </c>
      <c r="B226" s="7">
        <f t="shared" si="0"/>
        <v>11011101</v>
      </c>
      <c r="C226" s="7" t="str">
        <f t="shared" si="1"/>
        <v>DD</v>
      </c>
      <c r="D226" s="8" t="s">
        <v>138</v>
      </c>
      <c r="E226" s="9"/>
      <c r="F226" s="9"/>
      <c r="G226" s="9"/>
      <c r="H226" s="12"/>
      <c r="I226" s="9"/>
      <c r="J226" s="8"/>
    </row>
    <row r="227" spans="1:10" x14ac:dyDescent="0.25">
      <c r="A227" s="7">
        <v>222</v>
      </c>
      <c r="B227" s="7">
        <f t="shared" si="0"/>
        <v>11011110</v>
      </c>
      <c r="C227" s="7" t="str">
        <f t="shared" si="1"/>
        <v>DE</v>
      </c>
      <c r="D227" s="8" t="s">
        <v>138</v>
      </c>
      <c r="E227" s="9"/>
      <c r="F227" s="9"/>
      <c r="G227" s="9"/>
      <c r="H227" s="12"/>
      <c r="I227" s="8"/>
      <c r="J227" s="8"/>
    </row>
    <row r="228" spans="1:10" x14ac:dyDescent="0.25">
      <c r="A228" s="7">
        <v>223</v>
      </c>
      <c r="B228" s="7">
        <f t="shared" si="0"/>
        <v>11011111</v>
      </c>
      <c r="C228" s="7" t="str">
        <f t="shared" si="1"/>
        <v>DF</v>
      </c>
      <c r="D228" s="8" t="s">
        <v>138</v>
      </c>
      <c r="E228" s="9"/>
      <c r="F228" s="9"/>
      <c r="G228" s="9"/>
      <c r="H228" s="12"/>
      <c r="I228" s="8"/>
      <c r="J228" s="8"/>
    </row>
    <row r="229" spans="1:10" x14ac:dyDescent="0.25">
      <c r="A229" s="7">
        <v>224</v>
      </c>
      <c r="B229" s="7">
        <f t="shared" si="0"/>
        <v>11100000</v>
      </c>
      <c r="C229" s="7" t="str">
        <f t="shared" si="1"/>
        <v>E0</v>
      </c>
      <c r="D229" s="8" t="s">
        <v>138</v>
      </c>
      <c r="E229" s="9"/>
      <c r="F229" s="9"/>
      <c r="G229" s="9"/>
      <c r="H229" s="12"/>
      <c r="I229" s="8"/>
      <c r="J229" s="8"/>
    </row>
    <row r="230" spans="1:10" x14ac:dyDescent="0.25">
      <c r="A230" s="7">
        <v>225</v>
      </c>
      <c r="B230" s="7">
        <f t="shared" si="0"/>
        <v>11100001</v>
      </c>
      <c r="C230" s="7" t="str">
        <f t="shared" si="1"/>
        <v>E1</v>
      </c>
      <c r="D230" s="8" t="s">
        <v>138</v>
      </c>
      <c r="E230" s="9"/>
      <c r="F230" s="9"/>
      <c r="G230" s="9"/>
      <c r="H230" s="12"/>
      <c r="I230" s="8"/>
      <c r="J230" s="8"/>
    </row>
    <row r="231" spans="1:10" x14ac:dyDescent="0.25">
      <c r="A231" s="7">
        <v>226</v>
      </c>
      <c r="B231" s="7">
        <f t="shared" si="0"/>
        <v>11100010</v>
      </c>
      <c r="C231" s="7" t="str">
        <f t="shared" si="1"/>
        <v>E2</v>
      </c>
      <c r="D231" s="8" t="s">
        <v>138</v>
      </c>
      <c r="E231" s="9"/>
      <c r="F231" s="9"/>
      <c r="G231" s="9"/>
      <c r="H231" s="12"/>
      <c r="I231" s="8"/>
      <c r="J231" s="8"/>
    </row>
    <row r="232" spans="1:10" x14ac:dyDescent="0.25">
      <c r="A232" s="7">
        <v>227</v>
      </c>
      <c r="B232" s="7">
        <f t="shared" si="0"/>
        <v>11100011</v>
      </c>
      <c r="C232" s="7" t="str">
        <f t="shared" si="1"/>
        <v>E3</v>
      </c>
      <c r="D232" s="8" t="s">
        <v>138</v>
      </c>
      <c r="E232" s="9"/>
      <c r="F232" s="9"/>
      <c r="G232" s="9"/>
      <c r="H232" s="12"/>
      <c r="I232" s="8"/>
      <c r="J232" s="8"/>
    </row>
    <row r="233" spans="1:10" x14ac:dyDescent="0.25">
      <c r="A233" s="7">
        <v>228</v>
      </c>
      <c r="B233" s="7">
        <f t="shared" si="0"/>
        <v>11100100</v>
      </c>
      <c r="C233" s="7" t="str">
        <f t="shared" si="1"/>
        <v>E4</v>
      </c>
      <c r="D233" s="8" t="s">
        <v>138</v>
      </c>
      <c r="E233" s="9"/>
      <c r="F233" s="9"/>
      <c r="G233" s="9"/>
      <c r="H233" s="12"/>
      <c r="I233" s="8"/>
      <c r="J233" s="8"/>
    </row>
    <row r="234" spans="1:10" x14ac:dyDescent="0.25">
      <c r="A234" s="7">
        <v>229</v>
      </c>
      <c r="B234" s="7">
        <f t="shared" ref="B234:B260" si="7">DEC2BIN(A234/512)*1000000000+DEC2BIN(MOD(A234,512))</f>
        <v>11100101</v>
      </c>
      <c r="C234" s="7" t="str">
        <f t="shared" ref="C234:C260" si="8">DEC2HEX(A234)</f>
        <v>E5</v>
      </c>
      <c r="D234" s="8" t="s">
        <v>138</v>
      </c>
      <c r="E234" s="9"/>
      <c r="F234" s="9"/>
      <c r="G234" s="9"/>
      <c r="H234" s="12"/>
      <c r="I234" s="8"/>
      <c r="J234" s="8"/>
    </row>
    <row r="235" spans="1:10" x14ac:dyDescent="0.25">
      <c r="A235" s="7">
        <v>230</v>
      </c>
      <c r="B235" s="7">
        <f t="shared" si="7"/>
        <v>11100110</v>
      </c>
      <c r="C235" s="7" t="str">
        <f t="shared" si="8"/>
        <v>E6</v>
      </c>
      <c r="D235" s="8" t="s">
        <v>138</v>
      </c>
      <c r="E235" s="9"/>
      <c r="F235" s="9"/>
      <c r="G235" s="9"/>
      <c r="H235" s="12"/>
      <c r="I235" s="8"/>
      <c r="J235" s="8"/>
    </row>
    <row r="236" spans="1:10" x14ac:dyDescent="0.25">
      <c r="A236" s="7">
        <v>231</v>
      </c>
      <c r="B236" s="7">
        <f t="shared" si="7"/>
        <v>11100111</v>
      </c>
      <c r="C236" s="7" t="str">
        <f t="shared" si="8"/>
        <v>E7</v>
      </c>
      <c r="D236" s="8" t="s">
        <v>138</v>
      </c>
      <c r="E236" s="9"/>
      <c r="F236" s="9"/>
      <c r="G236" s="9"/>
      <c r="H236" s="12"/>
      <c r="I236" s="8"/>
      <c r="J236" s="8"/>
    </row>
    <row r="237" spans="1:10" x14ac:dyDescent="0.25">
      <c r="A237" s="7">
        <v>232</v>
      </c>
      <c r="B237" s="7">
        <f t="shared" si="7"/>
        <v>11101000</v>
      </c>
      <c r="C237" s="7" t="str">
        <f t="shared" si="8"/>
        <v>E8</v>
      </c>
      <c r="D237" s="8" t="s">
        <v>138</v>
      </c>
      <c r="E237" s="9"/>
      <c r="F237" s="9"/>
      <c r="G237" s="9"/>
      <c r="H237" s="12"/>
      <c r="I237" s="8"/>
      <c r="J237" s="8"/>
    </row>
    <row r="238" spans="1:10" x14ac:dyDescent="0.25">
      <c r="A238" s="7">
        <v>233</v>
      </c>
      <c r="B238" s="7">
        <f t="shared" si="7"/>
        <v>11101001</v>
      </c>
      <c r="C238" s="7" t="str">
        <f t="shared" si="8"/>
        <v>E9</v>
      </c>
      <c r="D238" s="8" t="s">
        <v>138</v>
      </c>
      <c r="E238" s="9"/>
      <c r="F238" s="9"/>
      <c r="G238" s="9"/>
      <c r="H238" s="12"/>
      <c r="I238" s="8"/>
      <c r="J238" s="8"/>
    </row>
    <row r="239" spans="1:10" x14ac:dyDescent="0.25">
      <c r="A239" s="7">
        <v>234</v>
      </c>
      <c r="B239" s="7">
        <f t="shared" si="7"/>
        <v>11101010</v>
      </c>
      <c r="C239" s="7" t="str">
        <f t="shared" si="8"/>
        <v>EA</v>
      </c>
      <c r="D239" s="8" t="s">
        <v>138</v>
      </c>
      <c r="E239" s="9"/>
      <c r="F239" s="9"/>
      <c r="G239" s="9"/>
      <c r="H239" s="12"/>
      <c r="I239" s="8"/>
      <c r="J239" s="8"/>
    </row>
    <row r="240" spans="1:10" x14ac:dyDescent="0.25">
      <c r="A240" s="7">
        <v>235</v>
      </c>
      <c r="B240" s="7">
        <f t="shared" si="7"/>
        <v>11101011</v>
      </c>
      <c r="C240" s="7" t="str">
        <f t="shared" si="8"/>
        <v>EB</v>
      </c>
      <c r="D240" s="8" t="s">
        <v>138</v>
      </c>
      <c r="E240" s="9"/>
      <c r="F240" s="9"/>
      <c r="G240" s="9"/>
      <c r="H240" s="12"/>
      <c r="I240" s="8"/>
      <c r="J240" s="8"/>
    </row>
    <row r="241" spans="1:10" x14ac:dyDescent="0.25">
      <c r="A241" s="7">
        <v>236</v>
      </c>
      <c r="B241" s="7">
        <f t="shared" si="7"/>
        <v>11101100</v>
      </c>
      <c r="C241" s="7" t="str">
        <f t="shared" si="8"/>
        <v>EC</v>
      </c>
      <c r="D241" s="8" t="s">
        <v>138</v>
      </c>
      <c r="E241" s="9"/>
      <c r="F241" s="9"/>
      <c r="G241" s="9"/>
      <c r="H241" s="12"/>
      <c r="I241" s="8"/>
      <c r="J241" s="8"/>
    </row>
    <row r="242" spans="1:10" x14ac:dyDescent="0.25">
      <c r="A242" s="7">
        <v>237</v>
      </c>
      <c r="B242" s="7">
        <f t="shared" si="7"/>
        <v>11101101</v>
      </c>
      <c r="C242" s="7" t="str">
        <f t="shared" si="8"/>
        <v>ED</v>
      </c>
      <c r="D242" s="8" t="s">
        <v>138</v>
      </c>
      <c r="E242" s="9"/>
      <c r="F242" s="9"/>
      <c r="G242" s="9"/>
      <c r="H242" s="12"/>
      <c r="I242" s="8"/>
      <c r="J242" s="8"/>
    </row>
    <row r="243" spans="1:10" x14ac:dyDescent="0.25">
      <c r="A243" s="7">
        <v>238</v>
      </c>
      <c r="B243" s="7">
        <f t="shared" si="7"/>
        <v>11101110</v>
      </c>
      <c r="C243" s="7" t="str">
        <f t="shared" si="8"/>
        <v>EE</v>
      </c>
      <c r="D243" s="8" t="s">
        <v>138</v>
      </c>
      <c r="E243" s="9"/>
      <c r="F243" s="9"/>
      <c r="G243" s="9"/>
      <c r="H243" s="12"/>
      <c r="I243" s="8"/>
      <c r="J243" s="8"/>
    </row>
    <row r="244" spans="1:10" x14ac:dyDescent="0.25">
      <c r="A244" s="7">
        <v>239</v>
      </c>
      <c r="B244" s="7">
        <f t="shared" si="7"/>
        <v>11101111</v>
      </c>
      <c r="C244" s="7" t="str">
        <f t="shared" si="8"/>
        <v>EF</v>
      </c>
      <c r="D244" s="8" t="s">
        <v>138</v>
      </c>
      <c r="E244" s="9"/>
      <c r="F244" s="9"/>
      <c r="G244" s="9"/>
      <c r="H244" s="12"/>
      <c r="I244" s="8"/>
      <c r="J244" s="8"/>
    </row>
    <row r="245" spans="1:10" x14ac:dyDescent="0.25">
      <c r="A245" s="7">
        <v>240</v>
      </c>
      <c r="B245" s="7">
        <f t="shared" si="7"/>
        <v>11110000</v>
      </c>
      <c r="C245" s="7" t="str">
        <f t="shared" si="8"/>
        <v>F0</v>
      </c>
      <c r="D245" s="8" t="s">
        <v>138</v>
      </c>
      <c r="E245" s="9"/>
      <c r="F245" s="9"/>
      <c r="G245" s="9"/>
      <c r="H245" s="12"/>
      <c r="I245" s="8"/>
      <c r="J245" s="8"/>
    </row>
    <row r="246" spans="1:10" x14ac:dyDescent="0.25">
      <c r="A246" s="7">
        <v>241</v>
      </c>
      <c r="B246" s="7">
        <f t="shared" si="7"/>
        <v>11110001</v>
      </c>
      <c r="C246" s="7" t="str">
        <f t="shared" si="8"/>
        <v>F1</v>
      </c>
      <c r="D246" s="8" t="s">
        <v>138</v>
      </c>
      <c r="E246" s="9"/>
      <c r="F246" s="9"/>
      <c r="G246" s="9"/>
      <c r="H246" s="12"/>
      <c r="I246" s="8"/>
      <c r="J246" s="8"/>
    </row>
    <row r="247" spans="1:10" x14ac:dyDescent="0.25">
      <c r="A247" s="7">
        <v>242</v>
      </c>
      <c r="B247" s="7">
        <f t="shared" si="7"/>
        <v>11110010</v>
      </c>
      <c r="C247" s="7" t="str">
        <f t="shared" si="8"/>
        <v>F2</v>
      </c>
      <c r="D247" s="8" t="s">
        <v>138</v>
      </c>
      <c r="E247" s="9"/>
      <c r="F247" s="9"/>
      <c r="G247" s="9"/>
      <c r="H247" s="12"/>
      <c r="I247" s="8"/>
      <c r="J247" s="8"/>
    </row>
    <row r="248" spans="1:10" x14ac:dyDescent="0.25">
      <c r="A248" s="7">
        <v>243</v>
      </c>
      <c r="B248" s="7">
        <f t="shared" si="7"/>
        <v>11110011</v>
      </c>
      <c r="C248" s="7" t="str">
        <f t="shared" si="8"/>
        <v>F3</v>
      </c>
      <c r="D248" s="8" t="s">
        <v>138</v>
      </c>
      <c r="E248" s="9"/>
      <c r="F248" s="9"/>
      <c r="G248" s="9"/>
      <c r="H248" s="12"/>
      <c r="I248" s="8"/>
      <c r="J248" s="8"/>
    </row>
    <row r="249" spans="1:10" x14ac:dyDescent="0.25">
      <c r="A249" s="7">
        <v>244</v>
      </c>
      <c r="B249" s="7">
        <f t="shared" si="7"/>
        <v>11110100</v>
      </c>
      <c r="C249" s="7" t="str">
        <f t="shared" si="8"/>
        <v>F4</v>
      </c>
      <c r="D249" s="8" t="s">
        <v>138</v>
      </c>
      <c r="E249" s="9"/>
      <c r="F249" s="9"/>
      <c r="G249" s="9"/>
      <c r="H249" s="12"/>
      <c r="I249" s="8"/>
      <c r="J249" s="8"/>
    </row>
    <row r="250" spans="1:10" x14ac:dyDescent="0.25">
      <c r="A250" s="7">
        <v>245</v>
      </c>
      <c r="B250" s="7">
        <f t="shared" si="7"/>
        <v>11110101</v>
      </c>
      <c r="C250" s="7" t="str">
        <f t="shared" si="8"/>
        <v>F5</v>
      </c>
      <c r="D250" s="8" t="s">
        <v>138</v>
      </c>
      <c r="E250" s="9"/>
      <c r="F250" s="9"/>
      <c r="G250" s="9"/>
      <c r="H250" s="12"/>
      <c r="I250" s="8"/>
      <c r="J250" s="8"/>
    </row>
    <row r="251" spans="1:10" x14ac:dyDescent="0.25">
      <c r="A251" s="7">
        <v>246</v>
      </c>
      <c r="B251" s="7">
        <f t="shared" si="7"/>
        <v>11110110</v>
      </c>
      <c r="C251" s="7" t="str">
        <f t="shared" si="8"/>
        <v>F6</v>
      </c>
      <c r="D251" s="8" t="s">
        <v>138</v>
      </c>
      <c r="E251" s="9"/>
      <c r="F251" s="9"/>
      <c r="G251" s="9"/>
      <c r="H251" s="12"/>
      <c r="I251" s="8"/>
      <c r="J251" s="8"/>
    </row>
    <row r="252" spans="1:10" x14ac:dyDescent="0.25">
      <c r="A252" s="7">
        <v>247</v>
      </c>
      <c r="B252" s="7">
        <f t="shared" si="7"/>
        <v>11110111</v>
      </c>
      <c r="C252" s="7" t="str">
        <f t="shared" si="8"/>
        <v>F7</v>
      </c>
      <c r="D252" s="8" t="s">
        <v>138</v>
      </c>
      <c r="E252" s="9"/>
      <c r="F252" s="9"/>
      <c r="G252" s="9"/>
      <c r="H252" s="12"/>
      <c r="I252" s="8"/>
      <c r="J252" s="8"/>
    </row>
    <row r="253" spans="1:10" x14ac:dyDescent="0.25">
      <c r="A253" s="7">
        <v>248</v>
      </c>
      <c r="B253" s="7">
        <f t="shared" si="7"/>
        <v>11111000</v>
      </c>
      <c r="C253" s="7" t="str">
        <f t="shared" si="8"/>
        <v>F8</v>
      </c>
      <c r="D253" s="8" t="s">
        <v>138</v>
      </c>
      <c r="E253" s="9"/>
      <c r="F253" s="9"/>
      <c r="G253" s="9"/>
      <c r="H253" s="12"/>
      <c r="I253" s="8"/>
      <c r="J253" s="8"/>
    </row>
    <row r="254" spans="1:10" x14ac:dyDescent="0.25">
      <c r="A254" s="7">
        <v>249</v>
      </c>
      <c r="B254" s="7">
        <f t="shared" si="7"/>
        <v>11111001</v>
      </c>
      <c r="C254" s="7" t="str">
        <f t="shared" si="8"/>
        <v>F9</v>
      </c>
      <c r="D254" s="8" t="s">
        <v>138</v>
      </c>
      <c r="E254" s="9"/>
      <c r="F254" s="9"/>
      <c r="G254" s="9"/>
      <c r="H254" s="12"/>
      <c r="I254" s="8"/>
      <c r="J254" s="8"/>
    </row>
    <row r="255" spans="1:10" x14ac:dyDescent="0.25">
      <c r="A255" s="7">
        <v>250</v>
      </c>
      <c r="B255" s="7">
        <f t="shared" si="7"/>
        <v>11111010</v>
      </c>
      <c r="C255" s="7" t="str">
        <f t="shared" si="8"/>
        <v>FA</v>
      </c>
      <c r="D255" s="8" t="s">
        <v>138</v>
      </c>
      <c r="E255" s="9"/>
      <c r="F255" s="9"/>
      <c r="G255" s="9"/>
      <c r="H255" s="12"/>
      <c r="I255" s="8"/>
      <c r="J255" s="8"/>
    </row>
    <row r="256" spans="1:10" x14ac:dyDescent="0.25">
      <c r="A256" s="7">
        <v>251</v>
      </c>
      <c r="B256" s="7">
        <f t="shared" si="7"/>
        <v>11111011</v>
      </c>
      <c r="C256" s="7" t="str">
        <f t="shared" si="8"/>
        <v>FB</v>
      </c>
      <c r="D256" s="8" t="s">
        <v>138</v>
      </c>
      <c r="E256" s="9"/>
      <c r="F256" s="9"/>
      <c r="G256" s="9"/>
      <c r="H256" s="12"/>
      <c r="I256" s="8"/>
      <c r="J256" s="8"/>
    </row>
    <row r="257" spans="1:10" x14ac:dyDescent="0.25">
      <c r="A257" s="7">
        <v>252</v>
      </c>
      <c r="B257" s="7">
        <f t="shared" si="7"/>
        <v>11111100</v>
      </c>
      <c r="C257" s="7" t="str">
        <f t="shared" si="8"/>
        <v>FC</v>
      </c>
      <c r="D257" s="8" t="s">
        <v>138</v>
      </c>
      <c r="E257" s="9"/>
      <c r="F257" s="9"/>
      <c r="G257" s="9"/>
      <c r="H257" s="12"/>
      <c r="I257" s="8"/>
      <c r="J257" s="8"/>
    </row>
    <row r="258" spans="1:10" x14ac:dyDescent="0.25">
      <c r="A258" s="7">
        <v>253</v>
      </c>
      <c r="B258" s="7">
        <f t="shared" si="7"/>
        <v>11111101</v>
      </c>
      <c r="C258" s="7" t="str">
        <f t="shared" si="8"/>
        <v>FD</v>
      </c>
      <c r="D258" s="8" t="s">
        <v>138</v>
      </c>
      <c r="E258" s="9"/>
      <c r="F258" s="9"/>
      <c r="G258" s="9"/>
      <c r="H258" s="12"/>
      <c r="I258" s="8"/>
      <c r="J258" s="8"/>
    </row>
    <row r="259" spans="1:10" x14ac:dyDescent="0.25">
      <c r="A259" s="7">
        <v>254</v>
      </c>
      <c r="B259" s="7">
        <f t="shared" si="7"/>
        <v>11111110</v>
      </c>
      <c r="C259" s="7" t="str">
        <f t="shared" si="8"/>
        <v>FE</v>
      </c>
      <c r="D259" s="8" t="s">
        <v>138</v>
      </c>
      <c r="E259" s="8"/>
      <c r="F259" s="8"/>
      <c r="G259" s="8"/>
      <c r="H259" s="7"/>
      <c r="I259" s="8"/>
      <c r="J259" s="8"/>
    </row>
    <row r="260" spans="1:10" x14ac:dyDescent="0.25">
      <c r="A260" s="7">
        <v>255</v>
      </c>
      <c r="B260" s="7">
        <f t="shared" si="7"/>
        <v>11111111</v>
      </c>
      <c r="C260" s="7" t="str">
        <f t="shared" si="8"/>
        <v>FF</v>
      </c>
      <c r="D260" s="8" t="s">
        <v>138</v>
      </c>
      <c r="E260" s="8"/>
      <c r="F260" s="8"/>
      <c r="G260" s="8"/>
      <c r="H260" s="7"/>
      <c r="I260" s="8"/>
      <c r="J260" s="8"/>
    </row>
  </sheetData>
  <mergeCells count="1">
    <mergeCell ref="L4:Y4"/>
  </mergeCells>
  <phoneticPr fontId="5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4720-ABF3-48DC-9858-9D76F1AC3450}">
  <dimension ref="A1:J259"/>
  <sheetViews>
    <sheetView workbookViewId="0">
      <selection activeCell="E5" sqref="E5"/>
    </sheetView>
  </sheetViews>
  <sheetFormatPr defaultColWidth="12.54296875" defaultRowHeight="12.5" x14ac:dyDescent="0.25"/>
  <cols>
    <col min="5" max="5" width="24.7265625" bestFit="1" customWidth="1"/>
    <col min="6" max="6" width="41.81640625" bestFit="1" customWidth="1"/>
  </cols>
  <sheetData>
    <row r="1" spans="1:10" ht="15" customHeight="1" x14ac:dyDescent="0.25">
      <c r="A1" s="6" t="s">
        <v>427</v>
      </c>
      <c r="B1" s="7"/>
      <c r="C1" s="6"/>
      <c r="D1" s="8"/>
      <c r="E1" s="8"/>
      <c r="F1" s="8"/>
      <c r="G1" s="8"/>
      <c r="H1" s="6"/>
      <c r="I1" s="8"/>
      <c r="J1" s="8"/>
    </row>
    <row r="2" spans="1:10" ht="15" customHeight="1" x14ac:dyDescent="0.25">
      <c r="A2" s="7"/>
      <c r="B2" s="7"/>
      <c r="C2" s="7"/>
      <c r="D2" s="8"/>
      <c r="E2" s="8"/>
      <c r="F2" s="8"/>
      <c r="G2" s="8"/>
      <c r="H2" s="6" t="s">
        <v>428</v>
      </c>
      <c r="I2" s="8"/>
      <c r="J2" s="8"/>
    </row>
    <row r="3" spans="1:10" ht="15" customHeight="1" x14ac:dyDescent="0.25">
      <c r="A3" s="6" t="s">
        <v>429</v>
      </c>
      <c r="B3" s="7"/>
      <c r="C3" s="7"/>
      <c r="D3" s="8"/>
      <c r="E3" s="8"/>
      <c r="F3" s="8"/>
      <c r="G3" s="8"/>
      <c r="H3" s="6" t="s">
        <v>0</v>
      </c>
      <c r="I3" s="8"/>
      <c r="J3" s="8"/>
    </row>
    <row r="4" spans="1:10" ht="15" customHeight="1" x14ac:dyDescent="0.25">
      <c r="A4" s="25" t="s">
        <v>1</v>
      </c>
      <c r="B4" s="25" t="s">
        <v>2</v>
      </c>
      <c r="C4" s="25" t="s">
        <v>3</v>
      </c>
      <c r="D4" s="26" t="s">
        <v>4</v>
      </c>
      <c r="E4" s="26" t="s">
        <v>5</v>
      </c>
      <c r="F4" s="26" t="s">
        <v>6</v>
      </c>
      <c r="G4" s="26" t="s">
        <v>430</v>
      </c>
      <c r="H4" s="25" t="s">
        <v>7</v>
      </c>
      <c r="I4" s="26" t="s">
        <v>8</v>
      </c>
      <c r="J4" s="26" t="s">
        <v>431</v>
      </c>
    </row>
    <row r="5" spans="1:10" ht="15" customHeight="1" x14ac:dyDescent="0.25">
      <c r="A5">
        <v>1</v>
      </c>
      <c r="B5" t="str">
        <f>DEC2BIN(A5)</f>
        <v>1</v>
      </c>
      <c r="C5" t="str">
        <f>DEC2HEX(HEX2DEC("0001")+ROW(A1)-1,4)</f>
        <v>0001</v>
      </c>
      <c r="D5" s="27" t="s">
        <v>383</v>
      </c>
      <c r="E5" s="8" t="s">
        <v>24</v>
      </c>
      <c r="F5" s="8" t="s">
        <v>432</v>
      </c>
      <c r="G5" s="8"/>
      <c r="H5" s="7" t="s">
        <v>26</v>
      </c>
      <c r="I5" s="8" t="s">
        <v>15</v>
      </c>
    </row>
    <row r="6" spans="1:10" ht="15" customHeight="1" x14ac:dyDescent="0.25">
      <c r="A6">
        <v>2</v>
      </c>
      <c r="B6" t="str">
        <f t="shared" ref="B6:B69" si="0">DEC2BIN(A6)</f>
        <v>10</v>
      </c>
      <c r="C6" t="str">
        <f t="shared" ref="C6:C69" si="1">DEC2HEX(HEX2DEC("0001")+ROW(A2)-1,4)</f>
        <v>0002</v>
      </c>
      <c r="D6" s="27" t="s">
        <v>383</v>
      </c>
      <c r="E6" s="8" t="s">
        <v>28</v>
      </c>
      <c r="F6" s="8" t="s">
        <v>29</v>
      </c>
      <c r="G6" s="8"/>
      <c r="H6" s="7">
        <v>10</v>
      </c>
      <c r="I6" s="8" t="s">
        <v>15</v>
      </c>
    </row>
    <row r="7" spans="1:10" ht="15" customHeight="1" x14ac:dyDescent="0.25">
      <c r="A7">
        <v>3</v>
      </c>
      <c r="B7" t="str">
        <f t="shared" si="0"/>
        <v>11</v>
      </c>
      <c r="C7" t="str">
        <f t="shared" si="1"/>
        <v>0003</v>
      </c>
      <c r="D7" s="27" t="s">
        <v>383</v>
      </c>
      <c r="E7" s="8" t="s">
        <v>31</v>
      </c>
      <c r="F7" s="8" t="s">
        <v>433</v>
      </c>
      <c r="G7" s="8"/>
      <c r="H7" s="7">
        <v>10</v>
      </c>
      <c r="I7" s="8" t="s">
        <v>15</v>
      </c>
    </row>
    <row r="8" spans="1:10" ht="15" customHeight="1" x14ac:dyDescent="0.25">
      <c r="A8">
        <v>4</v>
      </c>
      <c r="B8" t="str">
        <f t="shared" si="0"/>
        <v>100</v>
      </c>
      <c r="C8" t="str">
        <f t="shared" si="1"/>
        <v>0004</v>
      </c>
      <c r="D8" s="27" t="s">
        <v>383</v>
      </c>
      <c r="E8" s="8" t="s">
        <v>34</v>
      </c>
      <c r="F8" s="8" t="s">
        <v>434</v>
      </c>
      <c r="G8" s="8"/>
      <c r="H8" s="7" t="s">
        <v>26</v>
      </c>
      <c r="I8" s="8" t="s">
        <v>15</v>
      </c>
    </row>
    <row r="9" spans="1:10" ht="15" customHeight="1" x14ac:dyDescent="0.25">
      <c r="A9">
        <v>5</v>
      </c>
      <c r="B9" t="str">
        <f t="shared" si="0"/>
        <v>101</v>
      </c>
      <c r="C9" t="str">
        <f t="shared" si="1"/>
        <v>0005</v>
      </c>
      <c r="D9" s="27" t="s">
        <v>383</v>
      </c>
      <c r="E9" s="8" t="s">
        <v>37</v>
      </c>
      <c r="F9" s="8" t="s">
        <v>38</v>
      </c>
      <c r="G9" s="8"/>
      <c r="H9" s="7" t="s">
        <v>26</v>
      </c>
      <c r="I9" s="8" t="s">
        <v>15</v>
      </c>
    </row>
    <row r="10" spans="1:10" ht="15" customHeight="1" x14ac:dyDescent="0.25">
      <c r="A10">
        <v>6</v>
      </c>
      <c r="B10" t="str">
        <f t="shared" si="0"/>
        <v>110</v>
      </c>
      <c r="C10" t="str">
        <f t="shared" si="1"/>
        <v>0006</v>
      </c>
      <c r="D10" s="27" t="s">
        <v>383</v>
      </c>
      <c r="E10" s="8" t="s">
        <v>39</v>
      </c>
      <c r="F10" s="8" t="s">
        <v>40</v>
      </c>
      <c r="G10" s="8"/>
      <c r="H10" s="7">
        <v>10</v>
      </c>
      <c r="I10" s="8" t="s">
        <v>15</v>
      </c>
    </row>
    <row r="11" spans="1:10" ht="15" customHeight="1" x14ac:dyDescent="0.25">
      <c r="A11">
        <v>7</v>
      </c>
      <c r="B11" t="str">
        <f t="shared" si="0"/>
        <v>111</v>
      </c>
      <c r="C11" t="str">
        <f t="shared" si="1"/>
        <v>0007</v>
      </c>
      <c r="D11" s="27" t="s">
        <v>383</v>
      </c>
      <c r="E11" s="8" t="s">
        <v>42</v>
      </c>
      <c r="F11" s="8" t="s">
        <v>43</v>
      </c>
      <c r="G11" s="8"/>
      <c r="H11" s="7"/>
      <c r="I11" s="8" t="s">
        <v>15</v>
      </c>
    </row>
    <row r="12" spans="1:10" ht="15" customHeight="1" x14ac:dyDescent="0.25">
      <c r="A12">
        <v>8</v>
      </c>
      <c r="B12" t="str">
        <f t="shared" si="0"/>
        <v>1000</v>
      </c>
      <c r="C12" t="str">
        <f t="shared" si="1"/>
        <v>0008</v>
      </c>
      <c r="D12" s="27" t="s">
        <v>383</v>
      </c>
      <c r="E12" s="8" t="s">
        <v>55</v>
      </c>
      <c r="F12" s="8" t="s">
        <v>56</v>
      </c>
      <c r="G12" s="8"/>
      <c r="H12" s="7" t="s">
        <v>26</v>
      </c>
      <c r="I12" s="8" t="s">
        <v>435</v>
      </c>
    </row>
    <row r="13" spans="1:10" ht="15" customHeight="1" x14ac:dyDescent="0.25">
      <c r="A13">
        <v>9</v>
      </c>
      <c r="B13" t="str">
        <f t="shared" si="0"/>
        <v>1001</v>
      </c>
      <c r="C13" t="str">
        <f t="shared" si="1"/>
        <v>0009</v>
      </c>
      <c r="D13" s="27" t="s">
        <v>383</v>
      </c>
      <c r="E13" s="8" t="s">
        <v>57</v>
      </c>
      <c r="F13" s="8" t="s">
        <v>58</v>
      </c>
      <c r="G13" s="8"/>
      <c r="H13" s="7" t="s">
        <v>26</v>
      </c>
      <c r="I13" s="8" t="s">
        <v>398</v>
      </c>
    </row>
    <row r="14" spans="1:10" ht="15" customHeight="1" x14ac:dyDescent="0.25">
      <c r="A14">
        <v>10</v>
      </c>
      <c r="B14" t="str">
        <f t="shared" si="0"/>
        <v>1010</v>
      </c>
      <c r="C14" t="str">
        <f t="shared" si="1"/>
        <v>000A</v>
      </c>
      <c r="D14" s="27" t="s">
        <v>383</v>
      </c>
      <c r="E14" s="8" t="s">
        <v>59</v>
      </c>
      <c r="F14" s="8" t="s">
        <v>56</v>
      </c>
      <c r="G14" s="8"/>
      <c r="H14" s="7" t="s">
        <v>26</v>
      </c>
      <c r="I14" s="8" t="s">
        <v>436</v>
      </c>
    </row>
    <row r="15" spans="1:10" ht="15" customHeight="1" x14ac:dyDescent="0.25">
      <c r="A15">
        <v>11</v>
      </c>
      <c r="B15" t="str">
        <f t="shared" si="0"/>
        <v>1011</v>
      </c>
      <c r="C15" t="str">
        <f t="shared" si="1"/>
        <v>000B</v>
      </c>
      <c r="D15" s="27" t="s">
        <v>383</v>
      </c>
      <c r="E15" s="8" t="s">
        <v>60</v>
      </c>
      <c r="F15" s="8" t="s">
        <v>58</v>
      </c>
      <c r="G15" s="8"/>
      <c r="H15" s="7" t="s">
        <v>26</v>
      </c>
      <c r="I15" s="8" t="s">
        <v>437</v>
      </c>
    </row>
    <row r="16" spans="1:10" ht="15" customHeight="1" x14ac:dyDescent="0.25">
      <c r="A16">
        <v>12</v>
      </c>
      <c r="B16" t="str">
        <f t="shared" si="0"/>
        <v>1100</v>
      </c>
      <c r="C16" t="str">
        <f t="shared" si="1"/>
        <v>000C</v>
      </c>
      <c r="D16" s="27" t="s">
        <v>383</v>
      </c>
    </row>
    <row r="17" spans="1:4" ht="15" customHeight="1" x14ac:dyDescent="0.25">
      <c r="A17">
        <v>13</v>
      </c>
      <c r="B17" t="str">
        <f t="shared" si="0"/>
        <v>1101</v>
      </c>
      <c r="C17" t="str">
        <f t="shared" si="1"/>
        <v>000D</v>
      </c>
      <c r="D17" s="27" t="s">
        <v>383</v>
      </c>
    </row>
    <row r="18" spans="1:4" ht="15" customHeight="1" x14ac:dyDescent="0.25">
      <c r="A18">
        <v>14</v>
      </c>
      <c r="B18" t="str">
        <f t="shared" si="0"/>
        <v>1110</v>
      </c>
      <c r="C18" t="str">
        <f t="shared" si="1"/>
        <v>000E</v>
      </c>
      <c r="D18" s="27" t="s">
        <v>383</v>
      </c>
    </row>
    <row r="19" spans="1:4" ht="15" customHeight="1" x14ac:dyDescent="0.25">
      <c r="A19">
        <v>15</v>
      </c>
      <c r="B19" t="str">
        <f t="shared" si="0"/>
        <v>1111</v>
      </c>
      <c r="C19" t="str">
        <f t="shared" si="1"/>
        <v>000F</v>
      </c>
      <c r="D19" s="27" t="s">
        <v>383</v>
      </c>
    </row>
    <row r="20" spans="1:4" ht="15" customHeight="1" x14ac:dyDescent="0.25">
      <c r="A20">
        <v>16</v>
      </c>
      <c r="B20" t="str">
        <f t="shared" si="0"/>
        <v>10000</v>
      </c>
      <c r="C20" t="str">
        <f t="shared" si="1"/>
        <v>0010</v>
      </c>
      <c r="D20" s="27" t="s">
        <v>383</v>
      </c>
    </row>
    <row r="21" spans="1:4" ht="15" customHeight="1" x14ac:dyDescent="0.25">
      <c r="A21">
        <v>17</v>
      </c>
      <c r="B21" t="str">
        <f t="shared" si="0"/>
        <v>10001</v>
      </c>
      <c r="C21" t="str">
        <f t="shared" si="1"/>
        <v>0011</v>
      </c>
      <c r="D21" s="27" t="s">
        <v>383</v>
      </c>
    </row>
    <row r="22" spans="1:4" ht="15" customHeight="1" x14ac:dyDescent="0.25">
      <c r="A22">
        <v>18</v>
      </c>
      <c r="B22" t="str">
        <f t="shared" si="0"/>
        <v>10010</v>
      </c>
      <c r="C22" t="str">
        <f t="shared" si="1"/>
        <v>0012</v>
      </c>
      <c r="D22" s="27" t="s">
        <v>383</v>
      </c>
    </row>
    <row r="23" spans="1:4" ht="15" customHeight="1" x14ac:dyDescent="0.25">
      <c r="A23">
        <v>19</v>
      </c>
      <c r="B23" t="str">
        <f t="shared" si="0"/>
        <v>10011</v>
      </c>
      <c r="C23" t="str">
        <f t="shared" si="1"/>
        <v>0013</v>
      </c>
      <c r="D23" s="27" t="s">
        <v>383</v>
      </c>
    </row>
    <row r="24" spans="1:4" ht="15" customHeight="1" x14ac:dyDescent="0.25">
      <c r="A24">
        <v>20</v>
      </c>
      <c r="B24" t="str">
        <f t="shared" si="0"/>
        <v>10100</v>
      </c>
      <c r="C24" t="str">
        <f t="shared" si="1"/>
        <v>0014</v>
      </c>
      <c r="D24" s="27" t="s">
        <v>383</v>
      </c>
    </row>
    <row r="25" spans="1:4" ht="15" customHeight="1" x14ac:dyDescent="0.25">
      <c r="A25">
        <v>21</v>
      </c>
      <c r="B25" t="str">
        <f t="shared" si="0"/>
        <v>10101</v>
      </c>
      <c r="C25" t="str">
        <f t="shared" si="1"/>
        <v>0015</v>
      </c>
      <c r="D25" s="27" t="s">
        <v>383</v>
      </c>
    </row>
    <row r="26" spans="1:4" ht="15" customHeight="1" x14ac:dyDescent="0.25">
      <c r="A26">
        <v>22</v>
      </c>
      <c r="B26" t="str">
        <f t="shared" si="0"/>
        <v>10110</v>
      </c>
      <c r="C26" t="str">
        <f t="shared" si="1"/>
        <v>0016</v>
      </c>
      <c r="D26" s="27" t="s">
        <v>383</v>
      </c>
    </row>
    <row r="27" spans="1:4" ht="15" customHeight="1" x14ac:dyDescent="0.25">
      <c r="A27">
        <v>23</v>
      </c>
      <c r="B27" t="str">
        <f t="shared" si="0"/>
        <v>10111</v>
      </c>
      <c r="C27" t="str">
        <f t="shared" si="1"/>
        <v>0017</v>
      </c>
      <c r="D27" s="27" t="s">
        <v>383</v>
      </c>
    </row>
    <row r="28" spans="1:4" ht="15" customHeight="1" x14ac:dyDescent="0.25">
      <c r="A28">
        <v>24</v>
      </c>
      <c r="B28" t="str">
        <f t="shared" si="0"/>
        <v>11000</v>
      </c>
      <c r="C28" t="str">
        <f t="shared" si="1"/>
        <v>0018</v>
      </c>
      <c r="D28" s="27" t="s">
        <v>383</v>
      </c>
    </row>
    <row r="29" spans="1:4" ht="15" customHeight="1" x14ac:dyDescent="0.25">
      <c r="A29">
        <v>25</v>
      </c>
      <c r="B29" t="str">
        <f t="shared" si="0"/>
        <v>11001</v>
      </c>
      <c r="C29" t="str">
        <f t="shared" si="1"/>
        <v>0019</v>
      </c>
      <c r="D29" s="27" t="s">
        <v>383</v>
      </c>
    </row>
    <row r="30" spans="1:4" ht="15" customHeight="1" x14ac:dyDescent="0.25">
      <c r="A30">
        <v>26</v>
      </c>
      <c r="B30" t="str">
        <f t="shared" si="0"/>
        <v>11010</v>
      </c>
      <c r="C30" t="str">
        <f t="shared" si="1"/>
        <v>001A</v>
      </c>
      <c r="D30" s="27" t="s">
        <v>383</v>
      </c>
    </row>
    <row r="31" spans="1:4" ht="15" customHeight="1" x14ac:dyDescent="0.25">
      <c r="A31">
        <v>27</v>
      </c>
      <c r="B31" t="str">
        <f t="shared" si="0"/>
        <v>11011</v>
      </c>
      <c r="C31" t="str">
        <f t="shared" si="1"/>
        <v>001B</v>
      </c>
      <c r="D31" s="27" t="s">
        <v>383</v>
      </c>
    </row>
    <row r="32" spans="1:4" ht="15" customHeight="1" x14ac:dyDescent="0.25">
      <c r="A32">
        <v>28</v>
      </c>
      <c r="B32" t="str">
        <f t="shared" si="0"/>
        <v>11100</v>
      </c>
      <c r="C32" t="str">
        <f t="shared" si="1"/>
        <v>001C</v>
      </c>
      <c r="D32" s="27" t="s">
        <v>383</v>
      </c>
    </row>
    <row r="33" spans="1:4" ht="15" customHeight="1" x14ac:dyDescent="0.25">
      <c r="A33">
        <v>29</v>
      </c>
      <c r="B33" t="str">
        <f t="shared" si="0"/>
        <v>11101</v>
      </c>
      <c r="C33" t="str">
        <f t="shared" si="1"/>
        <v>001D</v>
      </c>
      <c r="D33" s="27" t="s">
        <v>383</v>
      </c>
    </row>
    <row r="34" spans="1:4" ht="15" customHeight="1" x14ac:dyDescent="0.25">
      <c r="A34">
        <v>30</v>
      </c>
      <c r="B34" t="str">
        <f t="shared" si="0"/>
        <v>11110</v>
      </c>
      <c r="C34" t="str">
        <f t="shared" si="1"/>
        <v>001E</v>
      </c>
      <c r="D34" s="27" t="s">
        <v>383</v>
      </c>
    </row>
    <row r="35" spans="1:4" ht="15" customHeight="1" x14ac:dyDescent="0.25">
      <c r="A35">
        <v>31</v>
      </c>
      <c r="B35" t="str">
        <f t="shared" si="0"/>
        <v>11111</v>
      </c>
      <c r="C35" t="str">
        <f t="shared" si="1"/>
        <v>001F</v>
      </c>
      <c r="D35" s="27" t="s">
        <v>383</v>
      </c>
    </row>
    <row r="36" spans="1:4" ht="15" customHeight="1" x14ac:dyDescent="0.25">
      <c r="A36">
        <v>32</v>
      </c>
      <c r="B36" t="str">
        <f t="shared" si="0"/>
        <v>100000</v>
      </c>
      <c r="C36" t="str">
        <f t="shared" si="1"/>
        <v>0020</v>
      </c>
      <c r="D36" s="27" t="s">
        <v>383</v>
      </c>
    </row>
    <row r="37" spans="1:4" ht="15" customHeight="1" x14ac:dyDescent="0.25">
      <c r="A37">
        <v>33</v>
      </c>
      <c r="B37" t="str">
        <f t="shared" si="0"/>
        <v>100001</v>
      </c>
      <c r="C37" t="str">
        <f t="shared" si="1"/>
        <v>0021</v>
      </c>
      <c r="D37" s="27" t="s">
        <v>383</v>
      </c>
    </row>
    <row r="38" spans="1:4" ht="15" customHeight="1" x14ac:dyDescent="0.25">
      <c r="A38">
        <v>34</v>
      </c>
      <c r="B38" t="str">
        <f t="shared" si="0"/>
        <v>100010</v>
      </c>
      <c r="C38" t="str">
        <f t="shared" si="1"/>
        <v>0022</v>
      </c>
      <c r="D38" s="27" t="s">
        <v>383</v>
      </c>
    </row>
    <row r="39" spans="1:4" ht="15" customHeight="1" x14ac:dyDescent="0.25">
      <c r="A39">
        <v>35</v>
      </c>
      <c r="B39" t="str">
        <f t="shared" si="0"/>
        <v>100011</v>
      </c>
      <c r="C39" t="str">
        <f t="shared" si="1"/>
        <v>0023</v>
      </c>
      <c r="D39" s="27" t="s">
        <v>383</v>
      </c>
    </row>
    <row r="40" spans="1:4" ht="15" customHeight="1" x14ac:dyDescent="0.25">
      <c r="A40">
        <v>36</v>
      </c>
      <c r="B40" t="str">
        <f t="shared" si="0"/>
        <v>100100</v>
      </c>
      <c r="C40" t="str">
        <f t="shared" si="1"/>
        <v>0024</v>
      </c>
      <c r="D40" s="27" t="s">
        <v>383</v>
      </c>
    </row>
    <row r="41" spans="1:4" ht="15" customHeight="1" x14ac:dyDescent="0.25">
      <c r="A41">
        <v>37</v>
      </c>
      <c r="B41" t="str">
        <f t="shared" si="0"/>
        <v>100101</v>
      </c>
      <c r="C41" t="str">
        <f t="shared" si="1"/>
        <v>0025</v>
      </c>
      <c r="D41" s="27" t="s">
        <v>383</v>
      </c>
    </row>
    <row r="42" spans="1:4" ht="15" customHeight="1" x14ac:dyDescent="0.25">
      <c r="A42">
        <v>38</v>
      </c>
      <c r="B42" t="str">
        <f t="shared" si="0"/>
        <v>100110</v>
      </c>
      <c r="C42" t="str">
        <f t="shared" si="1"/>
        <v>0026</v>
      </c>
      <c r="D42" s="27" t="s">
        <v>383</v>
      </c>
    </row>
    <row r="43" spans="1:4" ht="15" customHeight="1" x14ac:dyDescent="0.25">
      <c r="A43">
        <v>39</v>
      </c>
      <c r="B43" t="str">
        <f t="shared" si="0"/>
        <v>100111</v>
      </c>
      <c r="C43" t="str">
        <f t="shared" si="1"/>
        <v>0027</v>
      </c>
      <c r="D43" s="27" t="s">
        <v>383</v>
      </c>
    </row>
    <row r="44" spans="1:4" ht="15" customHeight="1" x14ac:dyDescent="0.25">
      <c r="A44">
        <v>40</v>
      </c>
      <c r="B44" t="str">
        <f t="shared" si="0"/>
        <v>101000</v>
      </c>
      <c r="C44" t="str">
        <f t="shared" si="1"/>
        <v>0028</v>
      </c>
      <c r="D44" s="27" t="s">
        <v>383</v>
      </c>
    </row>
    <row r="45" spans="1:4" ht="15" customHeight="1" x14ac:dyDescent="0.25">
      <c r="A45">
        <v>41</v>
      </c>
      <c r="B45" t="str">
        <f t="shared" si="0"/>
        <v>101001</v>
      </c>
      <c r="C45" t="str">
        <f t="shared" si="1"/>
        <v>0029</v>
      </c>
      <c r="D45" s="27" t="s">
        <v>383</v>
      </c>
    </row>
    <row r="46" spans="1:4" ht="15" customHeight="1" x14ac:dyDescent="0.25">
      <c r="A46">
        <v>42</v>
      </c>
      <c r="B46" t="str">
        <f t="shared" si="0"/>
        <v>101010</v>
      </c>
      <c r="C46" t="str">
        <f t="shared" si="1"/>
        <v>002A</v>
      </c>
      <c r="D46" s="27" t="s">
        <v>383</v>
      </c>
    </row>
    <row r="47" spans="1:4" ht="15" customHeight="1" x14ac:dyDescent="0.25">
      <c r="A47">
        <v>43</v>
      </c>
      <c r="B47" t="str">
        <f t="shared" si="0"/>
        <v>101011</v>
      </c>
      <c r="C47" t="str">
        <f t="shared" si="1"/>
        <v>002B</v>
      </c>
      <c r="D47" s="27" t="s">
        <v>383</v>
      </c>
    </row>
    <row r="48" spans="1:4" ht="15" customHeight="1" x14ac:dyDescent="0.25">
      <c r="A48">
        <v>44</v>
      </c>
      <c r="B48" t="str">
        <f t="shared" si="0"/>
        <v>101100</v>
      </c>
      <c r="C48" t="str">
        <f t="shared" si="1"/>
        <v>002C</v>
      </c>
      <c r="D48" s="27" t="s">
        <v>383</v>
      </c>
    </row>
    <row r="49" spans="1:4" ht="15" customHeight="1" x14ac:dyDescent="0.25">
      <c r="A49">
        <v>45</v>
      </c>
      <c r="B49" t="str">
        <f t="shared" si="0"/>
        <v>101101</v>
      </c>
      <c r="C49" t="str">
        <f t="shared" si="1"/>
        <v>002D</v>
      </c>
      <c r="D49" s="27" t="s">
        <v>383</v>
      </c>
    </row>
    <row r="50" spans="1:4" ht="15" customHeight="1" x14ac:dyDescent="0.25">
      <c r="A50">
        <v>46</v>
      </c>
      <c r="B50" t="str">
        <f t="shared" si="0"/>
        <v>101110</v>
      </c>
      <c r="C50" t="str">
        <f t="shared" si="1"/>
        <v>002E</v>
      </c>
      <c r="D50" s="27" t="s">
        <v>383</v>
      </c>
    </row>
    <row r="51" spans="1:4" ht="15" customHeight="1" x14ac:dyDescent="0.25">
      <c r="A51">
        <v>47</v>
      </c>
      <c r="B51" t="str">
        <f t="shared" si="0"/>
        <v>101111</v>
      </c>
      <c r="C51" t="str">
        <f t="shared" si="1"/>
        <v>002F</v>
      </c>
      <c r="D51" s="27" t="s">
        <v>383</v>
      </c>
    </row>
    <row r="52" spans="1:4" ht="15" customHeight="1" x14ac:dyDescent="0.25">
      <c r="A52">
        <v>48</v>
      </c>
      <c r="B52" t="str">
        <f t="shared" si="0"/>
        <v>110000</v>
      </c>
      <c r="C52" t="str">
        <f t="shared" si="1"/>
        <v>0030</v>
      </c>
      <c r="D52" s="27" t="s">
        <v>383</v>
      </c>
    </row>
    <row r="53" spans="1:4" ht="15" customHeight="1" x14ac:dyDescent="0.25">
      <c r="A53">
        <v>49</v>
      </c>
      <c r="B53" t="str">
        <f t="shared" si="0"/>
        <v>110001</v>
      </c>
      <c r="C53" t="str">
        <f t="shared" si="1"/>
        <v>0031</v>
      </c>
      <c r="D53" s="27" t="s">
        <v>383</v>
      </c>
    </row>
    <row r="54" spans="1:4" ht="15" customHeight="1" x14ac:dyDescent="0.25">
      <c r="A54">
        <v>50</v>
      </c>
      <c r="B54" t="str">
        <f t="shared" si="0"/>
        <v>110010</v>
      </c>
      <c r="C54" t="str">
        <f t="shared" si="1"/>
        <v>0032</v>
      </c>
      <c r="D54" s="27" t="s">
        <v>383</v>
      </c>
    </row>
    <row r="55" spans="1:4" ht="15" customHeight="1" x14ac:dyDescent="0.25">
      <c r="A55">
        <v>51</v>
      </c>
      <c r="B55" t="str">
        <f t="shared" si="0"/>
        <v>110011</v>
      </c>
      <c r="C55" t="str">
        <f t="shared" si="1"/>
        <v>0033</v>
      </c>
      <c r="D55" s="27" t="s">
        <v>383</v>
      </c>
    </row>
    <row r="56" spans="1:4" ht="15" customHeight="1" x14ac:dyDescent="0.25">
      <c r="A56">
        <v>52</v>
      </c>
      <c r="B56" t="str">
        <f t="shared" si="0"/>
        <v>110100</v>
      </c>
      <c r="C56" t="str">
        <f t="shared" si="1"/>
        <v>0034</v>
      </c>
      <c r="D56" s="27" t="s">
        <v>383</v>
      </c>
    </row>
    <row r="57" spans="1:4" ht="15" customHeight="1" x14ac:dyDescent="0.25">
      <c r="A57">
        <v>53</v>
      </c>
      <c r="B57" t="str">
        <f t="shared" si="0"/>
        <v>110101</v>
      </c>
      <c r="C57" t="str">
        <f t="shared" si="1"/>
        <v>0035</v>
      </c>
      <c r="D57" s="27" t="s">
        <v>383</v>
      </c>
    </row>
    <row r="58" spans="1:4" ht="15" customHeight="1" x14ac:dyDescent="0.25">
      <c r="A58">
        <v>54</v>
      </c>
      <c r="B58" t="str">
        <f t="shared" si="0"/>
        <v>110110</v>
      </c>
      <c r="C58" t="str">
        <f t="shared" si="1"/>
        <v>0036</v>
      </c>
      <c r="D58" s="27" t="s">
        <v>383</v>
      </c>
    </row>
    <row r="59" spans="1:4" ht="15" customHeight="1" x14ac:dyDescent="0.25">
      <c r="A59">
        <v>55</v>
      </c>
      <c r="B59" t="str">
        <f t="shared" si="0"/>
        <v>110111</v>
      </c>
      <c r="C59" t="str">
        <f t="shared" si="1"/>
        <v>0037</v>
      </c>
      <c r="D59" s="27" t="s">
        <v>383</v>
      </c>
    </row>
    <row r="60" spans="1:4" ht="15" customHeight="1" x14ac:dyDescent="0.25">
      <c r="A60">
        <v>56</v>
      </c>
      <c r="B60" t="str">
        <f t="shared" si="0"/>
        <v>111000</v>
      </c>
      <c r="C60" t="str">
        <f t="shared" si="1"/>
        <v>0038</v>
      </c>
      <c r="D60" s="27" t="s">
        <v>383</v>
      </c>
    </row>
    <row r="61" spans="1:4" ht="15" customHeight="1" x14ac:dyDescent="0.25">
      <c r="A61">
        <v>57</v>
      </c>
      <c r="B61" t="str">
        <f t="shared" si="0"/>
        <v>111001</v>
      </c>
      <c r="C61" t="str">
        <f t="shared" si="1"/>
        <v>0039</v>
      </c>
      <c r="D61" s="27" t="s">
        <v>383</v>
      </c>
    </row>
    <row r="62" spans="1:4" ht="15" customHeight="1" x14ac:dyDescent="0.25">
      <c r="A62">
        <v>58</v>
      </c>
      <c r="B62" t="str">
        <f t="shared" si="0"/>
        <v>111010</v>
      </c>
      <c r="C62" t="str">
        <f t="shared" si="1"/>
        <v>003A</v>
      </c>
      <c r="D62" s="27" t="s">
        <v>383</v>
      </c>
    </row>
    <row r="63" spans="1:4" ht="15" customHeight="1" x14ac:dyDescent="0.25">
      <c r="A63">
        <v>59</v>
      </c>
      <c r="B63" t="str">
        <f t="shared" si="0"/>
        <v>111011</v>
      </c>
      <c r="C63" t="str">
        <f t="shared" si="1"/>
        <v>003B</v>
      </c>
      <c r="D63" s="27" t="s">
        <v>383</v>
      </c>
    </row>
    <row r="64" spans="1:4" ht="15" customHeight="1" x14ac:dyDescent="0.25">
      <c r="A64">
        <v>60</v>
      </c>
      <c r="B64" t="str">
        <f t="shared" si="0"/>
        <v>111100</v>
      </c>
      <c r="C64" t="str">
        <f t="shared" si="1"/>
        <v>003C</v>
      </c>
      <c r="D64" s="27" t="s">
        <v>383</v>
      </c>
    </row>
    <row r="65" spans="1:9" ht="15" customHeight="1" x14ac:dyDescent="0.25">
      <c r="A65">
        <v>61</v>
      </c>
      <c r="B65" t="str">
        <f t="shared" si="0"/>
        <v>111101</v>
      </c>
      <c r="C65" t="str">
        <f t="shared" si="1"/>
        <v>003D</v>
      </c>
      <c r="D65" s="27" t="s">
        <v>383</v>
      </c>
    </row>
    <row r="66" spans="1:9" ht="15" customHeight="1" x14ac:dyDescent="0.25">
      <c r="A66">
        <v>62</v>
      </c>
      <c r="B66" t="str">
        <f t="shared" si="0"/>
        <v>111110</v>
      </c>
      <c r="C66" t="str">
        <f t="shared" si="1"/>
        <v>003E</v>
      </c>
      <c r="D66" s="27" t="s">
        <v>383</v>
      </c>
    </row>
    <row r="67" spans="1:9" ht="15" customHeight="1" x14ac:dyDescent="0.25">
      <c r="A67">
        <v>63</v>
      </c>
      <c r="B67" t="str">
        <f t="shared" si="0"/>
        <v>111111</v>
      </c>
      <c r="C67" t="str">
        <f t="shared" si="1"/>
        <v>003F</v>
      </c>
      <c r="D67" s="27" t="s">
        <v>383</v>
      </c>
    </row>
    <row r="68" spans="1:9" ht="15" customHeight="1" x14ac:dyDescent="0.25">
      <c r="A68">
        <v>64</v>
      </c>
      <c r="B68" t="str">
        <f t="shared" si="0"/>
        <v>1000000</v>
      </c>
      <c r="C68" t="str">
        <f>DEC2HEX(HEX2DEC("0001")+ROW(A64)-1,4)</f>
        <v>0040</v>
      </c>
      <c r="D68" t="s">
        <v>130</v>
      </c>
      <c r="E68" s="8" t="s">
        <v>65</v>
      </c>
      <c r="F68" s="8" t="s">
        <v>66</v>
      </c>
      <c r="G68" s="8"/>
      <c r="H68" s="7" t="s">
        <v>26</v>
      </c>
      <c r="I68" s="8" t="s">
        <v>15</v>
      </c>
    </row>
    <row r="69" spans="1:9" ht="15" customHeight="1" x14ac:dyDescent="0.25">
      <c r="A69">
        <v>65</v>
      </c>
      <c r="B69" t="str">
        <f t="shared" si="0"/>
        <v>1000001</v>
      </c>
      <c r="C69" t="str">
        <f t="shared" si="1"/>
        <v>0041</v>
      </c>
      <c r="D69" t="s">
        <v>130</v>
      </c>
      <c r="E69" s="8" t="s">
        <v>67</v>
      </c>
      <c r="F69" s="8" t="s">
        <v>68</v>
      </c>
      <c r="G69" s="8"/>
      <c r="H69" s="7" t="s">
        <v>26</v>
      </c>
      <c r="I69" s="8" t="s">
        <v>15</v>
      </c>
    </row>
    <row r="70" spans="1:9" ht="15" customHeight="1" x14ac:dyDescent="0.25">
      <c r="A70">
        <v>66</v>
      </c>
      <c r="B70" t="str">
        <f t="shared" ref="B70:B133" si="2">DEC2BIN(A70)</f>
        <v>1000010</v>
      </c>
      <c r="C70" t="str">
        <f t="shared" ref="C70:C133" si="3">DEC2HEX(HEX2DEC("0001")+ROW(A66)-1,4)</f>
        <v>0042</v>
      </c>
      <c r="D70" t="s">
        <v>130</v>
      </c>
      <c r="E70" s="8" t="s">
        <v>81</v>
      </c>
      <c r="F70" s="8" t="s">
        <v>82</v>
      </c>
      <c r="G70" s="9"/>
      <c r="H70" s="7" t="s">
        <v>26</v>
      </c>
      <c r="I70" s="8" t="s">
        <v>15</v>
      </c>
    </row>
    <row r="71" spans="1:9" ht="15" customHeight="1" x14ac:dyDescent="0.25">
      <c r="A71">
        <v>67</v>
      </c>
      <c r="B71" t="str">
        <f t="shared" si="2"/>
        <v>1000011</v>
      </c>
      <c r="C71" t="str">
        <f t="shared" si="3"/>
        <v>0043</v>
      </c>
      <c r="D71" t="s">
        <v>130</v>
      </c>
      <c r="E71" s="8" t="s">
        <v>438</v>
      </c>
      <c r="F71" s="8" t="s">
        <v>82</v>
      </c>
      <c r="G71" s="9"/>
      <c r="H71" s="7" t="s">
        <v>26</v>
      </c>
      <c r="I71" s="9" t="s">
        <v>15</v>
      </c>
    </row>
    <row r="72" spans="1:9" ht="15" customHeight="1" x14ac:dyDescent="0.25">
      <c r="A72">
        <v>68</v>
      </c>
      <c r="B72" t="str">
        <f t="shared" si="2"/>
        <v>1000100</v>
      </c>
      <c r="C72" t="str">
        <f t="shared" si="3"/>
        <v>0044</v>
      </c>
      <c r="D72" t="s">
        <v>130</v>
      </c>
      <c r="E72" s="8" t="s">
        <v>439</v>
      </c>
      <c r="F72" s="8" t="s">
        <v>70</v>
      </c>
      <c r="G72" s="8" t="s">
        <v>440</v>
      </c>
      <c r="H72" s="7">
        <v>10</v>
      </c>
      <c r="I72" s="8" t="s">
        <v>279</v>
      </c>
    </row>
    <row r="73" spans="1:9" ht="15" customHeight="1" x14ac:dyDescent="0.25">
      <c r="A73">
        <v>69</v>
      </c>
      <c r="B73" t="str">
        <f t="shared" si="2"/>
        <v>1000101</v>
      </c>
      <c r="C73" t="str">
        <f t="shared" si="3"/>
        <v>0045</v>
      </c>
      <c r="D73" t="s">
        <v>130</v>
      </c>
      <c r="E73" s="8" t="s">
        <v>441</v>
      </c>
      <c r="F73" s="8" t="s">
        <v>72</v>
      </c>
      <c r="G73" s="8"/>
      <c r="H73" s="7">
        <v>10</v>
      </c>
      <c r="I73" s="8" t="s">
        <v>279</v>
      </c>
    </row>
    <row r="74" spans="1:9" ht="15" customHeight="1" x14ac:dyDescent="0.25">
      <c r="A74">
        <v>70</v>
      </c>
      <c r="B74" t="str">
        <f t="shared" si="2"/>
        <v>1000110</v>
      </c>
      <c r="C74" t="str">
        <f t="shared" si="3"/>
        <v>0046</v>
      </c>
      <c r="D74" t="s">
        <v>130</v>
      </c>
      <c r="E74" s="8" t="s">
        <v>442</v>
      </c>
      <c r="F74" s="8" t="s">
        <v>74</v>
      </c>
      <c r="G74" s="8"/>
      <c r="H74" s="7">
        <v>10</v>
      </c>
      <c r="I74" s="8" t="s">
        <v>279</v>
      </c>
    </row>
    <row r="75" spans="1:9" ht="15" customHeight="1" x14ac:dyDescent="0.25">
      <c r="A75">
        <v>71</v>
      </c>
      <c r="B75" t="str">
        <f t="shared" si="2"/>
        <v>1000111</v>
      </c>
      <c r="C75" t="str">
        <f t="shared" si="3"/>
        <v>0047</v>
      </c>
      <c r="D75" t="s">
        <v>130</v>
      </c>
      <c r="E75" s="8" t="s">
        <v>443</v>
      </c>
      <c r="F75" s="8" t="s">
        <v>76</v>
      </c>
      <c r="G75" s="8"/>
      <c r="H75" s="7">
        <v>10</v>
      </c>
      <c r="I75" s="8" t="s">
        <v>279</v>
      </c>
    </row>
    <row r="76" spans="1:9" ht="15" customHeight="1" x14ac:dyDescent="0.25">
      <c r="A76">
        <v>72</v>
      </c>
      <c r="B76" t="str">
        <f t="shared" si="2"/>
        <v>1001000</v>
      </c>
      <c r="C76" t="str">
        <f t="shared" si="3"/>
        <v>0048</v>
      </c>
      <c r="D76" t="s">
        <v>130</v>
      </c>
    </row>
    <row r="77" spans="1:9" ht="15" customHeight="1" x14ac:dyDescent="0.25">
      <c r="A77">
        <v>73</v>
      </c>
      <c r="B77" t="str">
        <f t="shared" si="2"/>
        <v>1001001</v>
      </c>
      <c r="C77" t="str">
        <f t="shared" si="3"/>
        <v>0049</v>
      </c>
      <c r="D77" t="s">
        <v>130</v>
      </c>
    </row>
    <row r="78" spans="1:9" ht="15" customHeight="1" x14ac:dyDescent="0.25">
      <c r="A78">
        <v>74</v>
      </c>
      <c r="B78" t="str">
        <f t="shared" si="2"/>
        <v>1001010</v>
      </c>
      <c r="C78" t="str">
        <f t="shared" si="3"/>
        <v>004A</v>
      </c>
      <c r="D78" t="s">
        <v>130</v>
      </c>
    </row>
    <row r="79" spans="1:9" ht="15" customHeight="1" x14ac:dyDescent="0.25">
      <c r="A79">
        <v>75</v>
      </c>
      <c r="B79" t="str">
        <f t="shared" si="2"/>
        <v>1001011</v>
      </c>
      <c r="C79" t="str">
        <f t="shared" si="3"/>
        <v>004B</v>
      </c>
      <c r="D79" t="s">
        <v>130</v>
      </c>
    </row>
    <row r="80" spans="1:9" ht="15" customHeight="1" x14ac:dyDescent="0.25">
      <c r="A80">
        <v>76</v>
      </c>
      <c r="B80" t="str">
        <f t="shared" si="2"/>
        <v>1001100</v>
      </c>
      <c r="C80" t="str">
        <f t="shared" si="3"/>
        <v>004C</v>
      </c>
      <c r="D80" t="s">
        <v>130</v>
      </c>
    </row>
    <row r="81" spans="1:4" ht="15" customHeight="1" x14ac:dyDescent="0.25">
      <c r="A81">
        <v>77</v>
      </c>
      <c r="B81" t="str">
        <f t="shared" si="2"/>
        <v>1001101</v>
      </c>
      <c r="C81" t="str">
        <f t="shared" si="3"/>
        <v>004D</v>
      </c>
      <c r="D81" t="s">
        <v>130</v>
      </c>
    </row>
    <row r="82" spans="1:4" ht="15" customHeight="1" x14ac:dyDescent="0.25">
      <c r="A82">
        <v>78</v>
      </c>
      <c r="B82" t="str">
        <f t="shared" si="2"/>
        <v>1001110</v>
      </c>
      <c r="C82" t="str">
        <f t="shared" si="3"/>
        <v>004E</v>
      </c>
      <c r="D82" t="s">
        <v>130</v>
      </c>
    </row>
    <row r="83" spans="1:4" ht="15" customHeight="1" x14ac:dyDescent="0.25">
      <c r="A83">
        <v>79</v>
      </c>
      <c r="B83" t="str">
        <f t="shared" si="2"/>
        <v>1001111</v>
      </c>
      <c r="C83" t="str">
        <f t="shared" si="3"/>
        <v>004F</v>
      </c>
      <c r="D83" t="s">
        <v>130</v>
      </c>
    </row>
    <row r="84" spans="1:4" ht="15" customHeight="1" x14ac:dyDescent="0.25">
      <c r="A84">
        <v>80</v>
      </c>
      <c r="B84" t="str">
        <f t="shared" si="2"/>
        <v>1010000</v>
      </c>
      <c r="C84" t="str">
        <f t="shared" si="3"/>
        <v>0050</v>
      </c>
      <c r="D84" t="s">
        <v>130</v>
      </c>
    </row>
    <row r="85" spans="1:4" ht="15" customHeight="1" x14ac:dyDescent="0.25">
      <c r="A85">
        <v>81</v>
      </c>
      <c r="B85" t="str">
        <f t="shared" si="2"/>
        <v>1010001</v>
      </c>
      <c r="C85" t="str">
        <f t="shared" si="3"/>
        <v>0051</v>
      </c>
      <c r="D85" t="s">
        <v>130</v>
      </c>
    </row>
    <row r="86" spans="1:4" ht="15" customHeight="1" x14ac:dyDescent="0.25">
      <c r="A86">
        <v>82</v>
      </c>
      <c r="B86" t="str">
        <f t="shared" si="2"/>
        <v>1010010</v>
      </c>
      <c r="C86" t="str">
        <f t="shared" si="3"/>
        <v>0052</v>
      </c>
      <c r="D86" t="s">
        <v>130</v>
      </c>
    </row>
    <row r="87" spans="1:4" ht="15" customHeight="1" x14ac:dyDescent="0.25">
      <c r="A87">
        <v>83</v>
      </c>
      <c r="B87" t="str">
        <f t="shared" si="2"/>
        <v>1010011</v>
      </c>
      <c r="C87" t="str">
        <f t="shared" si="3"/>
        <v>0053</v>
      </c>
      <c r="D87" t="s">
        <v>130</v>
      </c>
    </row>
    <row r="88" spans="1:4" ht="15" customHeight="1" x14ac:dyDescent="0.25">
      <c r="A88">
        <v>84</v>
      </c>
      <c r="B88" t="str">
        <f t="shared" si="2"/>
        <v>1010100</v>
      </c>
      <c r="C88" t="str">
        <f t="shared" si="3"/>
        <v>0054</v>
      </c>
      <c r="D88" t="s">
        <v>130</v>
      </c>
    </row>
    <row r="89" spans="1:4" ht="15" customHeight="1" x14ac:dyDescent="0.25">
      <c r="A89">
        <v>85</v>
      </c>
      <c r="B89" t="str">
        <f t="shared" si="2"/>
        <v>1010101</v>
      </c>
      <c r="C89" t="str">
        <f t="shared" si="3"/>
        <v>0055</v>
      </c>
      <c r="D89" t="s">
        <v>130</v>
      </c>
    </row>
    <row r="90" spans="1:4" ht="15" customHeight="1" x14ac:dyDescent="0.25">
      <c r="A90">
        <v>86</v>
      </c>
      <c r="B90" t="str">
        <f t="shared" si="2"/>
        <v>1010110</v>
      </c>
      <c r="C90" t="str">
        <f t="shared" si="3"/>
        <v>0056</v>
      </c>
      <c r="D90" t="s">
        <v>130</v>
      </c>
    </row>
    <row r="91" spans="1:4" ht="15" customHeight="1" x14ac:dyDescent="0.25">
      <c r="A91">
        <v>87</v>
      </c>
      <c r="B91" t="str">
        <f t="shared" si="2"/>
        <v>1010111</v>
      </c>
      <c r="C91" t="str">
        <f t="shared" si="3"/>
        <v>0057</v>
      </c>
      <c r="D91" t="s">
        <v>130</v>
      </c>
    </row>
    <row r="92" spans="1:4" ht="15" customHeight="1" x14ac:dyDescent="0.25">
      <c r="A92">
        <v>88</v>
      </c>
      <c r="B92" t="str">
        <f t="shared" si="2"/>
        <v>1011000</v>
      </c>
      <c r="C92" t="str">
        <f t="shared" si="3"/>
        <v>0058</v>
      </c>
      <c r="D92" t="s">
        <v>130</v>
      </c>
    </row>
    <row r="93" spans="1:4" ht="15" customHeight="1" x14ac:dyDescent="0.25">
      <c r="A93">
        <v>89</v>
      </c>
      <c r="B93" t="str">
        <f t="shared" si="2"/>
        <v>1011001</v>
      </c>
      <c r="C93" t="str">
        <f t="shared" si="3"/>
        <v>0059</v>
      </c>
      <c r="D93" t="s">
        <v>130</v>
      </c>
    </row>
    <row r="94" spans="1:4" ht="15" customHeight="1" x14ac:dyDescent="0.25">
      <c r="A94">
        <v>90</v>
      </c>
      <c r="B94" t="str">
        <f t="shared" si="2"/>
        <v>1011010</v>
      </c>
      <c r="C94" t="str">
        <f t="shared" si="3"/>
        <v>005A</v>
      </c>
      <c r="D94" t="s">
        <v>130</v>
      </c>
    </row>
    <row r="95" spans="1:4" ht="15" customHeight="1" x14ac:dyDescent="0.25">
      <c r="A95">
        <v>91</v>
      </c>
      <c r="B95" t="str">
        <f t="shared" si="2"/>
        <v>1011011</v>
      </c>
      <c r="C95" t="str">
        <f t="shared" si="3"/>
        <v>005B</v>
      </c>
      <c r="D95" t="s">
        <v>130</v>
      </c>
    </row>
    <row r="96" spans="1:4" ht="15" customHeight="1" x14ac:dyDescent="0.25">
      <c r="A96">
        <v>92</v>
      </c>
      <c r="B96" t="str">
        <f t="shared" si="2"/>
        <v>1011100</v>
      </c>
      <c r="C96" t="str">
        <f t="shared" si="3"/>
        <v>005C</v>
      </c>
      <c r="D96" t="s">
        <v>130</v>
      </c>
    </row>
    <row r="97" spans="1:4" ht="15" customHeight="1" x14ac:dyDescent="0.25">
      <c r="A97">
        <v>93</v>
      </c>
      <c r="B97" t="str">
        <f t="shared" si="2"/>
        <v>1011101</v>
      </c>
      <c r="C97" t="str">
        <f t="shared" si="3"/>
        <v>005D</v>
      </c>
      <c r="D97" t="s">
        <v>130</v>
      </c>
    </row>
    <row r="98" spans="1:4" ht="15" customHeight="1" x14ac:dyDescent="0.25">
      <c r="A98">
        <v>94</v>
      </c>
      <c r="B98" t="str">
        <f t="shared" si="2"/>
        <v>1011110</v>
      </c>
      <c r="C98" t="str">
        <f t="shared" si="3"/>
        <v>005E</v>
      </c>
      <c r="D98" t="s">
        <v>130</v>
      </c>
    </row>
    <row r="99" spans="1:4" ht="15" customHeight="1" x14ac:dyDescent="0.25">
      <c r="A99">
        <v>95</v>
      </c>
      <c r="B99" t="str">
        <f t="shared" si="2"/>
        <v>1011111</v>
      </c>
      <c r="C99" t="str">
        <f t="shared" si="3"/>
        <v>005F</v>
      </c>
      <c r="D99" t="s">
        <v>130</v>
      </c>
    </row>
    <row r="100" spans="1:4" ht="15" customHeight="1" x14ac:dyDescent="0.25">
      <c r="A100">
        <v>96</v>
      </c>
      <c r="B100" t="str">
        <f t="shared" si="2"/>
        <v>1100000</v>
      </c>
      <c r="C100" t="str">
        <f t="shared" si="3"/>
        <v>0060</v>
      </c>
      <c r="D100" t="s">
        <v>130</v>
      </c>
    </row>
    <row r="101" spans="1:4" ht="15" customHeight="1" x14ac:dyDescent="0.25">
      <c r="A101">
        <v>97</v>
      </c>
      <c r="B101" t="str">
        <f t="shared" si="2"/>
        <v>1100001</v>
      </c>
      <c r="C101" t="str">
        <f t="shared" si="3"/>
        <v>0061</v>
      </c>
      <c r="D101" t="s">
        <v>130</v>
      </c>
    </row>
    <row r="102" spans="1:4" ht="15" customHeight="1" x14ac:dyDescent="0.25">
      <c r="A102">
        <v>98</v>
      </c>
      <c r="B102" t="str">
        <f t="shared" si="2"/>
        <v>1100010</v>
      </c>
      <c r="C102" t="str">
        <f t="shared" si="3"/>
        <v>0062</v>
      </c>
      <c r="D102" t="s">
        <v>130</v>
      </c>
    </row>
    <row r="103" spans="1:4" ht="15" customHeight="1" x14ac:dyDescent="0.25">
      <c r="A103">
        <v>99</v>
      </c>
      <c r="B103" t="str">
        <f t="shared" si="2"/>
        <v>1100011</v>
      </c>
      <c r="C103" t="str">
        <f t="shared" si="3"/>
        <v>0063</v>
      </c>
      <c r="D103" t="s">
        <v>130</v>
      </c>
    </row>
    <row r="104" spans="1:4" ht="15" customHeight="1" x14ac:dyDescent="0.25">
      <c r="A104">
        <v>100</v>
      </c>
      <c r="B104" t="str">
        <f t="shared" si="2"/>
        <v>1100100</v>
      </c>
      <c r="C104" t="str">
        <f t="shared" si="3"/>
        <v>0064</v>
      </c>
      <c r="D104" t="s">
        <v>130</v>
      </c>
    </row>
    <row r="105" spans="1:4" ht="15" customHeight="1" x14ac:dyDescent="0.25">
      <c r="A105">
        <v>101</v>
      </c>
      <c r="B105" t="str">
        <f t="shared" si="2"/>
        <v>1100101</v>
      </c>
      <c r="C105" t="str">
        <f t="shared" si="3"/>
        <v>0065</v>
      </c>
      <c r="D105" t="s">
        <v>130</v>
      </c>
    </row>
    <row r="106" spans="1:4" ht="15" customHeight="1" x14ac:dyDescent="0.25">
      <c r="A106">
        <v>102</v>
      </c>
      <c r="B106" t="str">
        <f t="shared" si="2"/>
        <v>1100110</v>
      </c>
      <c r="C106" t="str">
        <f t="shared" si="3"/>
        <v>0066</v>
      </c>
      <c r="D106" t="s">
        <v>130</v>
      </c>
    </row>
    <row r="107" spans="1:4" ht="15" customHeight="1" x14ac:dyDescent="0.25">
      <c r="A107">
        <v>103</v>
      </c>
      <c r="B107" t="str">
        <f t="shared" si="2"/>
        <v>1100111</v>
      </c>
      <c r="C107" t="str">
        <f t="shared" si="3"/>
        <v>0067</v>
      </c>
      <c r="D107" t="s">
        <v>130</v>
      </c>
    </row>
    <row r="108" spans="1:4" ht="15" customHeight="1" x14ac:dyDescent="0.25">
      <c r="A108">
        <v>104</v>
      </c>
      <c r="B108" t="str">
        <f t="shared" si="2"/>
        <v>1101000</v>
      </c>
      <c r="C108" t="str">
        <f t="shared" si="3"/>
        <v>0068</v>
      </c>
      <c r="D108" t="s">
        <v>130</v>
      </c>
    </row>
    <row r="109" spans="1:4" ht="15" customHeight="1" x14ac:dyDescent="0.25">
      <c r="A109">
        <v>105</v>
      </c>
      <c r="B109" t="str">
        <f t="shared" si="2"/>
        <v>1101001</v>
      </c>
      <c r="C109" t="str">
        <f t="shared" si="3"/>
        <v>0069</v>
      </c>
      <c r="D109" t="s">
        <v>130</v>
      </c>
    </row>
    <row r="110" spans="1:4" ht="15" customHeight="1" x14ac:dyDescent="0.25">
      <c r="A110">
        <v>106</v>
      </c>
      <c r="B110" t="str">
        <f t="shared" si="2"/>
        <v>1101010</v>
      </c>
      <c r="C110" t="str">
        <f t="shared" si="3"/>
        <v>006A</v>
      </c>
      <c r="D110" t="s">
        <v>130</v>
      </c>
    </row>
    <row r="111" spans="1:4" ht="15" customHeight="1" x14ac:dyDescent="0.25">
      <c r="A111">
        <v>107</v>
      </c>
      <c r="B111" t="str">
        <f t="shared" si="2"/>
        <v>1101011</v>
      </c>
      <c r="C111" t="str">
        <f t="shared" si="3"/>
        <v>006B</v>
      </c>
      <c r="D111" t="s">
        <v>130</v>
      </c>
    </row>
    <row r="112" spans="1:4" ht="15" customHeight="1" x14ac:dyDescent="0.25">
      <c r="A112">
        <v>108</v>
      </c>
      <c r="B112" t="str">
        <f t="shared" si="2"/>
        <v>1101100</v>
      </c>
      <c r="C112" t="str">
        <f t="shared" si="3"/>
        <v>006C</v>
      </c>
      <c r="D112" t="s">
        <v>130</v>
      </c>
    </row>
    <row r="113" spans="1:4" ht="15" customHeight="1" x14ac:dyDescent="0.25">
      <c r="A113">
        <v>109</v>
      </c>
      <c r="B113" t="str">
        <f t="shared" si="2"/>
        <v>1101101</v>
      </c>
      <c r="C113" t="str">
        <f t="shared" si="3"/>
        <v>006D</v>
      </c>
      <c r="D113" t="s">
        <v>130</v>
      </c>
    </row>
    <row r="114" spans="1:4" ht="15" customHeight="1" x14ac:dyDescent="0.25">
      <c r="A114">
        <v>110</v>
      </c>
      <c r="B114" t="str">
        <f t="shared" si="2"/>
        <v>1101110</v>
      </c>
      <c r="C114" t="str">
        <f t="shared" si="3"/>
        <v>006E</v>
      </c>
      <c r="D114" t="s">
        <v>130</v>
      </c>
    </row>
    <row r="115" spans="1:4" ht="15" customHeight="1" x14ac:dyDescent="0.25">
      <c r="A115">
        <v>111</v>
      </c>
      <c r="B115" t="str">
        <f t="shared" si="2"/>
        <v>1101111</v>
      </c>
      <c r="C115" t="str">
        <f t="shared" si="3"/>
        <v>006F</v>
      </c>
      <c r="D115" t="s">
        <v>130</v>
      </c>
    </row>
    <row r="116" spans="1:4" ht="15" customHeight="1" x14ac:dyDescent="0.25">
      <c r="A116">
        <v>112</v>
      </c>
      <c r="B116" t="str">
        <f t="shared" si="2"/>
        <v>1110000</v>
      </c>
      <c r="C116" t="str">
        <f t="shared" si="3"/>
        <v>0070</v>
      </c>
      <c r="D116" t="s">
        <v>130</v>
      </c>
    </row>
    <row r="117" spans="1:4" ht="15" customHeight="1" x14ac:dyDescent="0.25">
      <c r="A117">
        <v>113</v>
      </c>
      <c r="B117" t="str">
        <f t="shared" si="2"/>
        <v>1110001</v>
      </c>
      <c r="C117" t="str">
        <f t="shared" si="3"/>
        <v>0071</v>
      </c>
      <c r="D117" t="s">
        <v>130</v>
      </c>
    </row>
    <row r="118" spans="1:4" ht="15" customHeight="1" x14ac:dyDescent="0.25">
      <c r="A118">
        <v>114</v>
      </c>
      <c r="B118" t="str">
        <f t="shared" si="2"/>
        <v>1110010</v>
      </c>
      <c r="C118" t="str">
        <f t="shared" si="3"/>
        <v>0072</v>
      </c>
      <c r="D118" t="s">
        <v>130</v>
      </c>
    </row>
    <row r="119" spans="1:4" ht="15" customHeight="1" x14ac:dyDescent="0.25">
      <c r="A119">
        <v>115</v>
      </c>
      <c r="B119" t="str">
        <f t="shared" si="2"/>
        <v>1110011</v>
      </c>
      <c r="C119" t="str">
        <f t="shared" si="3"/>
        <v>0073</v>
      </c>
      <c r="D119" t="s">
        <v>130</v>
      </c>
    </row>
    <row r="120" spans="1:4" ht="15" customHeight="1" x14ac:dyDescent="0.25">
      <c r="A120">
        <v>116</v>
      </c>
      <c r="B120" t="str">
        <f t="shared" si="2"/>
        <v>1110100</v>
      </c>
      <c r="C120" t="str">
        <f t="shared" si="3"/>
        <v>0074</v>
      </c>
      <c r="D120" t="s">
        <v>130</v>
      </c>
    </row>
    <row r="121" spans="1:4" ht="15" customHeight="1" x14ac:dyDescent="0.25">
      <c r="A121">
        <v>117</v>
      </c>
      <c r="B121" t="str">
        <f t="shared" si="2"/>
        <v>1110101</v>
      </c>
      <c r="C121" t="str">
        <f t="shared" si="3"/>
        <v>0075</v>
      </c>
      <c r="D121" t="s">
        <v>130</v>
      </c>
    </row>
    <row r="122" spans="1:4" ht="15" customHeight="1" x14ac:dyDescent="0.25">
      <c r="A122">
        <v>118</v>
      </c>
      <c r="B122" t="str">
        <f t="shared" si="2"/>
        <v>1110110</v>
      </c>
      <c r="C122" t="str">
        <f t="shared" si="3"/>
        <v>0076</v>
      </c>
      <c r="D122" t="s">
        <v>130</v>
      </c>
    </row>
    <row r="123" spans="1:4" ht="15" customHeight="1" x14ac:dyDescent="0.25">
      <c r="A123">
        <v>119</v>
      </c>
      <c r="B123" t="str">
        <f t="shared" si="2"/>
        <v>1110111</v>
      </c>
      <c r="C123" t="str">
        <f t="shared" si="3"/>
        <v>0077</v>
      </c>
      <c r="D123" t="s">
        <v>130</v>
      </c>
    </row>
    <row r="124" spans="1:4" ht="15" customHeight="1" x14ac:dyDescent="0.25">
      <c r="A124">
        <v>120</v>
      </c>
      <c r="B124" t="str">
        <f t="shared" si="2"/>
        <v>1111000</v>
      </c>
      <c r="C124" t="str">
        <f t="shared" si="3"/>
        <v>0078</v>
      </c>
      <c r="D124" t="s">
        <v>130</v>
      </c>
    </row>
    <row r="125" spans="1:4" ht="15" customHeight="1" x14ac:dyDescent="0.25">
      <c r="A125">
        <v>121</v>
      </c>
      <c r="B125" t="str">
        <f t="shared" si="2"/>
        <v>1111001</v>
      </c>
      <c r="C125" t="str">
        <f t="shared" si="3"/>
        <v>0079</v>
      </c>
      <c r="D125" t="s">
        <v>130</v>
      </c>
    </row>
    <row r="126" spans="1:4" ht="15" customHeight="1" x14ac:dyDescent="0.25">
      <c r="A126">
        <v>122</v>
      </c>
      <c r="B126" t="str">
        <f t="shared" si="2"/>
        <v>1111010</v>
      </c>
      <c r="C126" t="str">
        <f t="shared" si="3"/>
        <v>007A</v>
      </c>
      <c r="D126" t="s">
        <v>130</v>
      </c>
    </row>
    <row r="127" spans="1:4" ht="15" customHeight="1" x14ac:dyDescent="0.25">
      <c r="A127">
        <v>123</v>
      </c>
      <c r="B127" t="str">
        <f t="shared" si="2"/>
        <v>1111011</v>
      </c>
      <c r="C127" t="str">
        <f t="shared" si="3"/>
        <v>007B</v>
      </c>
      <c r="D127" t="s">
        <v>130</v>
      </c>
    </row>
    <row r="128" spans="1:4" ht="15" customHeight="1" x14ac:dyDescent="0.25">
      <c r="A128">
        <v>124</v>
      </c>
      <c r="B128" t="str">
        <f t="shared" si="2"/>
        <v>1111100</v>
      </c>
      <c r="C128" t="str">
        <f t="shared" si="3"/>
        <v>007C</v>
      </c>
      <c r="D128" t="s">
        <v>130</v>
      </c>
    </row>
    <row r="129" spans="1:9" ht="15" customHeight="1" x14ac:dyDescent="0.25">
      <c r="A129">
        <v>125</v>
      </c>
      <c r="B129" t="str">
        <f t="shared" si="2"/>
        <v>1111101</v>
      </c>
      <c r="C129" t="str">
        <f t="shared" si="3"/>
        <v>007D</v>
      </c>
      <c r="D129" t="s">
        <v>130</v>
      </c>
    </row>
    <row r="130" spans="1:9" ht="15" customHeight="1" x14ac:dyDescent="0.25">
      <c r="A130">
        <v>126</v>
      </c>
      <c r="B130" t="str">
        <f t="shared" si="2"/>
        <v>1111110</v>
      </c>
      <c r="C130" t="str">
        <f t="shared" si="3"/>
        <v>007E</v>
      </c>
      <c r="D130" t="s">
        <v>130</v>
      </c>
    </row>
    <row r="131" spans="1:9" ht="15" customHeight="1" x14ac:dyDescent="0.25">
      <c r="A131">
        <v>127</v>
      </c>
      <c r="B131" t="str">
        <f t="shared" si="2"/>
        <v>1111111</v>
      </c>
      <c r="C131" t="str">
        <f t="shared" si="3"/>
        <v>007F</v>
      </c>
      <c r="D131" t="s">
        <v>130</v>
      </c>
    </row>
    <row r="132" spans="1:9" ht="15" customHeight="1" x14ac:dyDescent="0.25">
      <c r="A132">
        <v>128</v>
      </c>
      <c r="B132" t="str">
        <f t="shared" si="2"/>
        <v>10000000</v>
      </c>
      <c r="C132" t="str">
        <f t="shared" si="3"/>
        <v>0080</v>
      </c>
      <c r="D132" s="28" t="s">
        <v>341</v>
      </c>
      <c r="E132" s="9" t="s">
        <v>444</v>
      </c>
      <c r="F132" s="27" t="s">
        <v>445</v>
      </c>
      <c r="G132" s="28" t="s">
        <v>446</v>
      </c>
      <c r="H132">
        <v>10</v>
      </c>
      <c r="I132" s="28" t="s">
        <v>447</v>
      </c>
    </row>
    <row r="133" spans="1:9" ht="15" customHeight="1" x14ac:dyDescent="0.25">
      <c r="A133">
        <v>129</v>
      </c>
      <c r="B133" t="str">
        <f t="shared" si="2"/>
        <v>10000001</v>
      </c>
      <c r="C133" t="str">
        <f t="shared" si="3"/>
        <v>0081</v>
      </c>
      <c r="D133" s="28" t="s">
        <v>341</v>
      </c>
      <c r="E133" s="9" t="s">
        <v>448</v>
      </c>
      <c r="F133" s="28" t="s">
        <v>449</v>
      </c>
      <c r="H133">
        <v>10</v>
      </c>
      <c r="I133" s="28" t="s">
        <v>447</v>
      </c>
    </row>
    <row r="134" spans="1:9" ht="15" customHeight="1" x14ac:dyDescent="0.25">
      <c r="A134">
        <v>130</v>
      </c>
      <c r="B134" t="str">
        <f t="shared" ref="B134:B197" si="4">DEC2BIN(A134)</f>
        <v>10000010</v>
      </c>
      <c r="C134" t="str">
        <f t="shared" ref="C134:C197" si="5">DEC2HEX(HEX2DEC("0001")+ROW(A130)-1,4)</f>
        <v>0082</v>
      </c>
      <c r="D134" s="28" t="s">
        <v>341</v>
      </c>
    </row>
    <row r="135" spans="1:9" ht="15" customHeight="1" x14ac:dyDescent="0.25">
      <c r="A135">
        <v>131</v>
      </c>
      <c r="B135" t="str">
        <f t="shared" si="4"/>
        <v>10000011</v>
      </c>
      <c r="C135" t="str">
        <f t="shared" si="5"/>
        <v>0083</v>
      </c>
      <c r="D135" s="28" t="s">
        <v>341</v>
      </c>
    </row>
    <row r="136" spans="1:9" ht="15" customHeight="1" x14ac:dyDescent="0.25">
      <c r="A136">
        <v>132</v>
      </c>
      <c r="B136" t="str">
        <f t="shared" si="4"/>
        <v>10000100</v>
      </c>
      <c r="C136" t="str">
        <f t="shared" si="5"/>
        <v>0084</v>
      </c>
      <c r="D136" s="28" t="s">
        <v>341</v>
      </c>
    </row>
    <row r="137" spans="1:9" ht="15" customHeight="1" x14ac:dyDescent="0.25">
      <c r="A137">
        <v>133</v>
      </c>
      <c r="B137" t="str">
        <f t="shared" si="4"/>
        <v>10000101</v>
      </c>
      <c r="C137" t="str">
        <f t="shared" si="5"/>
        <v>0085</v>
      </c>
      <c r="D137" s="28" t="s">
        <v>341</v>
      </c>
    </row>
    <row r="138" spans="1:9" ht="15" customHeight="1" x14ac:dyDescent="0.25">
      <c r="A138">
        <v>134</v>
      </c>
      <c r="B138" t="str">
        <f t="shared" si="4"/>
        <v>10000110</v>
      </c>
      <c r="C138" t="str">
        <f t="shared" si="5"/>
        <v>0086</v>
      </c>
      <c r="D138" s="28" t="s">
        <v>341</v>
      </c>
    </row>
    <row r="139" spans="1:9" ht="15" customHeight="1" x14ac:dyDescent="0.25">
      <c r="A139">
        <v>135</v>
      </c>
      <c r="B139" t="str">
        <f t="shared" si="4"/>
        <v>10000111</v>
      </c>
      <c r="C139" t="str">
        <f t="shared" si="5"/>
        <v>0087</v>
      </c>
      <c r="D139" s="28" t="s">
        <v>341</v>
      </c>
    </row>
    <row r="140" spans="1:9" ht="15" customHeight="1" x14ac:dyDescent="0.25">
      <c r="A140">
        <v>136</v>
      </c>
      <c r="B140" t="str">
        <f t="shared" si="4"/>
        <v>10001000</v>
      </c>
      <c r="C140" t="str">
        <f t="shared" si="5"/>
        <v>0088</v>
      </c>
      <c r="D140" s="28" t="s">
        <v>341</v>
      </c>
    </row>
    <row r="141" spans="1:9" ht="15" customHeight="1" x14ac:dyDescent="0.25">
      <c r="A141">
        <v>137</v>
      </c>
      <c r="B141" t="str">
        <f t="shared" si="4"/>
        <v>10001001</v>
      </c>
      <c r="C141" t="str">
        <f t="shared" si="5"/>
        <v>0089</v>
      </c>
      <c r="D141" s="28" t="s">
        <v>341</v>
      </c>
    </row>
    <row r="142" spans="1:9" ht="15" customHeight="1" x14ac:dyDescent="0.25">
      <c r="A142">
        <v>138</v>
      </c>
      <c r="B142" t="str">
        <f t="shared" si="4"/>
        <v>10001010</v>
      </c>
      <c r="C142" t="str">
        <f t="shared" si="5"/>
        <v>008A</v>
      </c>
      <c r="D142" s="28" t="s">
        <v>341</v>
      </c>
    </row>
    <row r="143" spans="1:9" ht="15" customHeight="1" x14ac:dyDescent="0.25">
      <c r="A143">
        <v>139</v>
      </c>
      <c r="B143" t="str">
        <f t="shared" si="4"/>
        <v>10001011</v>
      </c>
      <c r="C143" t="str">
        <f t="shared" si="5"/>
        <v>008B</v>
      </c>
      <c r="D143" s="28" t="s">
        <v>341</v>
      </c>
    </row>
    <row r="144" spans="1:9" ht="15" customHeight="1" x14ac:dyDescent="0.25">
      <c r="A144">
        <v>140</v>
      </c>
      <c r="B144" t="str">
        <f t="shared" si="4"/>
        <v>10001100</v>
      </c>
      <c r="C144" t="str">
        <f t="shared" si="5"/>
        <v>008C</v>
      </c>
      <c r="D144" s="28" t="s">
        <v>341</v>
      </c>
    </row>
    <row r="145" spans="1:4" ht="15" customHeight="1" x14ac:dyDescent="0.25">
      <c r="A145">
        <v>141</v>
      </c>
      <c r="B145" t="str">
        <f t="shared" si="4"/>
        <v>10001101</v>
      </c>
      <c r="C145" t="str">
        <f t="shared" si="5"/>
        <v>008D</v>
      </c>
      <c r="D145" s="28" t="s">
        <v>341</v>
      </c>
    </row>
    <row r="146" spans="1:4" ht="15" customHeight="1" x14ac:dyDescent="0.25">
      <c r="A146">
        <v>142</v>
      </c>
      <c r="B146" t="str">
        <f t="shared" si="4"/>
        <v>10001110</v>
      </c>
      <c r="C146" t="str">
        <f t="shared" si="5"/>
        <v>008E</v>
      </c>
      <c r="D146" s="28" t="s">
        <v>341</v>
      </c>
    </row>
    <row r="147" spans="1:4" ht="15" customHeight="1" x14ac:dyDescent="0.25">
      <c r="A147">
        <v>143</v>
      </c>
      <c r="B147" t="str">
        <f t="shared" si="4"/>
        <v>10001111</v>
      </c>
      <c r="C147" t="str">
        <f t="shared" si="5"/>
        <v>008F</v>
      </c>
      <c r="D147" s="28" t="s">
        <v>341</v>
      </c>
    </row>
    <row r="148" spans="1:4" ht="15" customHeight="1" x14ac:dyDescent="0.25">
      <c r="A148">
        <v>144</v>
      </c>
      <c r="B148" t="str">
        <f t="shared" si="4"/>
        <v>10010000</v>
      </c>
      <c r="C148" t="str">
        <f t="shared" si="5"/>
        <v>0090</v>
      </c>
      <c r="D148" s="28" t="s">
        <v>341</v>
      </c>
    </row>
    <row r="149" spans="1:4" ht="15" customHeight="1" x14ac:dyDescent="0.25">
      <c r="A149">
        <v>145</v>
      </c>
      <c r="B149" t="str">
        <f t="shared" si="4"/>
        <v>10010001</v>
      </c>
      <c r="C149" t="str">
        <f t="shared" si="5"/>
        <v>0091</v>
      </c>
      <c r="D149" s="28" t="s">
        <v>341</v>
      </c>
    </row>
    <row r="150" spans="1:4" ht="15" customHeight="1" x14ac:dyDescent="0.25">
      <c r="A150">
        <v>146</v>
      </c>
      <c r="B150" t="str">
        <f t="shared" si="4"/>
        <v>10010010</v>
      </c>
      <c r="C150" t="str">
        <f t="shared" si="5"/>
        <v>0092</v>
      </c>
      <c r="D150" s="28" t="s">
        <v>341</v>
      </c>
    </row>
    <row r="151" spans="1:4" ht="15" customHeight="1" x14ac:dyDescent="0.25">
      <c r="A151">
        <v>147</v>
      </c>
      <c r="B151" t="str">
        <f t="shared" si="4"/>
        <v>10010011</v>
      </c>
      <c r="C151" t="str">
        <f t="shared" si="5"/>
        <v>0093</v>
      </c>
      <c r="D151" s="28" t="s">
        <v>341</v>
      </c>
    </row>
    <row r="152" spans="1:4" ht="15" customHeight="1" x14ac:dyDescent="0.25">
      <c r="A152">
        <v>148</v>
      </c>
      <c r="B152" t="str">
        <f t="shared" si="4"/>
        <v>10010100</v>
      </c>
      <c r="C152" t="str">
        <f t="shared" si="5"/>
        <v>0094</v>
      </c>
      <c r="D152" s="28" t="s">
        <v>341</v>
      </c>
    </row>
    <row r="153" spans="1:4" ht="15" customHeight="1" x14ac:dyDescent="0.25">
      <c r="A153">
        <v>149</v>
      </c>
      <c r="B153" t="str">
        <f t="shared" si="4"/>
        <v>10010101</v>
      </c>
      <c r="C153" t="str">
        <f t="shared" si="5"/>
        <v>0095</v>
      </c>
      <c r="D153" s="28" t="s">
        <v>341</v>
      </c>
    </row>
    <row r="154" spans="1:4" ht="15" customHeight="1" x14ac:dyDescent="0.25">
      <c r="A154">
        <v>150</v>
      </c>
      <c r="B154" t="str">
        <f t="shared" si="4"/>
        <v>10010110</v>
      </c>
      <c r="C154" t="str">
        <f t="shared" si="5"/>
        <v>0096</v>
      </c>
      <c r="D154" s="28" t="s">
        <v>341</v>
      </c>
    </row>
    <row r="155" spans="1:4" ht="15" customHeight="1" x14ac:dyDescent="0.25">
      <c r="A155">
        <v>151</v>
      </c>
      <c r="B155" t="str">
        <f t="shared" si="4"/>
        <v>10010111</v>
      </c>
      <c r="C155" t="str">
        <f t="shared" si="5"/>
        <v>0097</v>
      </c>
      <c r="D155" s="28" t="s">
        <v>341</v>
      </c>
    </row>
    <row r="156" spans="1:4" ht="15" customHeight="1" x14ac:dyDescent="0.25">
      <c r="A156">
        <v>152</v>
      </c>
      <c r="B156" t="str">
        <f t="shared" si="4"/>
        <v>10011000</v>
      </c>
      <c r="C156" t="str">
        <f t="shared" si="5"/>
        <v>0098</v>
      </c>
      <c r="D156" s="28" t="s">
        <v>341</v>
      </c>
    </row>
    <row r="157" spans="1:4" ht="15" customHeight="1" x14ac:dyDescent="0.25">
      <c r="A157">
        <v>153</v>
      </c>
      <c r="B157" t="str">
        <f t="shared" si="4"/>
        <v>10011001</v>
      </c>
      <c r="C157" t="str">
        <f t="shared" si="5"/>
        <v>0099</v>
      </c>
      <c r="D157" s="28" t="s">
        <v>341</v>
      </c>
    </row>
    <row r="158" spans="1:4" ht="15" customHeight="1" x14ac:dyDescent="0.25">
      <c r="A158">
        <v>154</v>
      </c>
      <c r="B158" t="str">
        <f t="shared" si="4"/>
        <v>10011010</v>
      </c>
      <c r="C158" t="str">
        <f t="shared" si="5"/>
        <v>009A</v>
      </c>
      <c r="D158" s="28" t="s">
        <v>341</v>
      </c>
    </row>
    <row r="159" spans="1:4" ht="15" customHeight="1" x14ac:dyDescent="0.25">
      <c r="A159">
        <v>155</v>
      </c>
      <c r="B159" t="str">
        <f t="shared" si="4"/>
        <v>10011011</v>
      </c>
      <c r="C159" t="str">
        <f t="shared" si="5"/>
        <v>009B</v>
      </c>
      <c r="D159" s="28" t="s">
        <v>341</v>
      </c>
    </row>
    <row r="160" spans="1:4" ht="15" customHeight="1" x14ac:dyDescent="0.25">
      <c r="A160">
        <v>156</v>
      </c>
      <c r="B160" t="str">
        <f t="shared" si="4"/>
        <v>10011100</v>
      </c>
      <c r="C160" t="str">
        <f t="shared" si="5"/>
        <v>009C</v>
      </c>
      <c r="D160" s="28" t="s">
        <v>341</v>
      </c>
    </row>
    <row r="161" spans="1:4" ht="15" customHeight="1" x14ac:dyDescent="0.25">
      <c r="A161">
        <v>157</v>
      </c>
      <c r="B161" t="str">
        <f t="shared" si="4"/>
        <v>10011101</v>
      </c>
      <c r="C161" t="str">
        <f t="shared" si="5"/>
        <v>009D</v>
      </c>
      <c r="D161" s="28" t="s">
        <v>341</v>
      </c>
    </row>
    <row r="162" spans="1:4" ht="15" customHeight="1" x14ac:dyDescent="0.25">
      <c r="A162">
        <v>158</v>
      </c>
      <c r="B162" t="str">
        <f t="shared" si="4"/>
        <v>10011110</v>
      </c>
      <c r="C162" t="str">
        <f t="shared" si="5"/>
        <v>009E</v>
      </c>
      <c r="D162" s="28" t="s">
        <v>341</v>
      </c>
    </row>
    <row r="163" spans="1:4" ht="15" customHeight="1" x14ac:dyDescent="0.25">
      <c r="A163">
        <v>159</v>
      </c>
      <c r="B163" t="str">
        <f t="shared" si="4"/>
        <v>10011111</v>
      </c>
      <c r="C163" t="str">
        <f t="shared" si="5"/>
        <v>009F</v>
      </c>
      <c r="D163" s="28" t="s">
        <v>341</v>
      </c>
    </row>
    <row r="164" spans="1:4" ht="15" customHeight="1" x14ac:dyDescent="0.25">
      <c r="A164">
        <v>160</v>
      </c>
      <c r="B164" t="str">
        <f t="shared" si="4"/>
        <v>10100000</v>
      </c>
      <c r="C164" t="str">
        <f t="shared" si="5"/>
        <v>00A0</v>
      </c>
      <c r="D164" s="28" t="s">
        <v>341</v>
      </c>
    </row>
    <row r="165" spans="1:4" ht="15" customHeight="1" x14ac:dyDescent="0.25">
      <c r="A165">
        <v>161</v>
      </c>
      <c r="B165" t="str">
        <f t="shared" si="4"/>
        <v>10100001</v>
      </c>
      <c r="C165" t="str">
        <f t="shared" si="5"/>
        <v>00A1</v>
      </c>
      <c r="D165" s="28" t="s">
        <v>341</v>
      </c>
    </row>
    <row r="166" spans="1:4" ht="15" customHeight="1" x14ac:dyDescent="0.25">
      <c r="A166">
        <v>162</v>
      </c>
      <c r="B166" t="str">
        <f t="shared" si="4"/>
        <v>10100010</v>
      </c>
      <c r="C166" t="str">
        <f t="shared" si="5"/>
        <v>00A2</v>
      </c>
      <c r="D166" s="28" t="s">
        <v>341</v>
      </c>
    </row>
    <row r="167" spans="1:4" ht="15" customHeight="1" x14ac:dyDescent="0.25">
      <c r="A167">
        <v>163</v>
      </c>
      <c r="B167" t="str">
        <f t="shared" si="4"/>
        <v>10100011</v>
      </c>
      <c r="C167" t="str">
        <f t="shared" si="5"/>
        <v>00A3</v>
      </c>
      <c r="D167" s="28" t="s">
        <v>341</v>
      </c>
    </row>
    <row r="168" spans="1:4" ht="15" customHeight="1" x14ac:dyDescent="0.25">
      <c r="A168">
        <v>164</v>
      </c>
      <c r="B168" t="str">
        <f t="shared" si="4"/>
        <v>10100100</v>
      </c>
      <c r="C168" t="str">
        <f t="shared" si="5"/>
        <v>00A4</v>
      </c>
      <c r="D168" s="28" t="s">
        <v>341</v>
      </c>
    </row>
    <row r="169" spans="1:4" ht="15" customHeight="1" x14ac:dyDescent="0.25">
      <c r="A169">
        <v>165</v>
      </c>
      <c r="B169" t="str">
        <f t="shared" si="4"/>
        <v>10100101</v>
      </c>
      <c r="C169" t="str">
        <f t="shared" si="5"/>
        <v>00A5</v>
      </c>
      <c r="D169" s="28" t="s">
        <v>341</v>
      </c>
    </row>
    <row r="170" spans="1:4" ht="15" customHeight="1" x14ac:dyDescent="0.25">
      <c r="A170">
        <v>166</v>
      </c>
      <c r="B170" t="str">
        <f t="shared" si="4"/>
        <v>10100110</v>
      </c>
      <c r="C170" t="str">
        <f t="shared" si="5"/>
        <v>00A6</v>
      </c>
      <c r="D170" s="28" t="s">
        <v>341</v>
      </c>
    </row>
    <row r="171" spans="1:4" ht="15" customHeight="1" x14ac:dyDescent="0.25">
      <c r="A171">
        <v>167</v>
      </c>
      <c r="B171" t="str">
        <f t="shared" si="4"/>
        <v>10100111</v>
      </c>
      <c r="C171" t="str">
        <f t="shared" si="5"/>
        <v>00A7</v>
      </c>
      <c r="D171" s="28" t="s">
        <v>341</v>
      </c>
    </row>
    <row r="172" spans="1:4" ht="15" customHeight="1" x14ac:dyDescent="0.25">
      <c r="A172">
        <v>168</v>
      </c>
      <c r="B172" t="str">
        <f t="shared" si="4"/>
        <v>10101000</v>
      </c>
      <c r="C172" t="str">
        <f t="shared" si="5"/>
        <v>00A8</v>
      </c>
      <c r="D172" s="28" t="s">
        <v>341</v>
      </c>
    </row>
    <row r="173" spans="1:4" ht="15" customHeight="1" x14ac:dyDescent="0.25">
      <c r="A173">
        <v>169</v>
      </c>
      <c r="B173" t="str">
        <f t="shared" si="4"/>
        <v>10101001</v>
      </c>
      <c r="C173" t="str">
        <f t="shared" si="5"/>
        <v>00A9</v>
      </c>
      <c r="D173" s="28" t="s">
        <v>341</v>
      </c>
    </row>
    <row r="174" spans="1:4" ht="15" customHeight="1" x14ac:dyDescent="0.25">
      <c r="A174">
        <v>170</v>
      </c>
      <c r="B174" t="str">
        <f t="shared" si="4"/>
        <v>10101010</v>
      </c>
      <c r="C174" t="str">
        <f t="shared" si="5"/>
        <v>00AA</v>
      </c>
      <c r="D174" s="28" t="s">
        <v>341</v>
      </c>
    </row>
    <row r="175" spans="1:4" ht="15" customHeight="1" x14ac:dyDescent="0.25">
      <c r="A175">
        <v>171</v>
      </c>
      <c r="B175" t="str">
        <f t="shared" si="4"/>
        <v>10101011</v>
      </c>
      <c r="C175" t="str">
        <f t="shared" si="5"/>
        <v>00AB</v>
      </c>
      <c r="D175" s="28" t="s">
        <v>341</v>
      </c>
    </row>
    <row r="176" spans="1:4" ht="15" customHeight="1" x14ac:dyDescent="0.25">
      <c r="A176">
        <v>172</v>
      </c>
      <c r="B176" t="str">
        <f t="shared" si="4"/>
        <v>10101100</v>
      </c>
      <c r="C176" t="str">
        <f t="shared" si="5"/>
        <v>00AC</v>
      </c>
      <c r="D176" s="28" t="s">
        <v>341</v>
      </c>
    </row>
    <row r="177" spans="1:4" ht="15" customHeight="1" x14ac:dyDescent="0.25">
      <c r="A177">
        <v>173</v>
      </c>
      <c r="B177" t="str">
        <f t="shared" si="4"/>
        <v>10101101</v>
      </c>
      <c r="C177" t="str">
        <f t="shared" si="5"/>
        <v>00AD</v>
      </c>
      <c r="D177" s="28" t="s">
        <v>341</v>
      </c>
    </row>
    <row r="178" spans="1:4" ht="15" customHeight="1" x14ac:dyDescent="0.25">
      <c r="A178">
        <v>174</v>
      </c>
      <c r="B178" t="str">
        <f t="shared" si="4"/>
        <v>10101110</v>
      </c>
      <c r="C178" t="str">
        <f t="shared" si="5"/>
        <v>00AE</v>
      </c>
      <c r="D178" s="28" t="s">
        <v>341</v>
      </c>
    </row>
    <row r="179" spans="1:4" ht="15" customHeight="1" x14ac:dyDescent="0.25">
      <c r="A179">
        <v>175</v>
      </c>
      <c r="B179" t="str">
        <f t="shared" si="4"/>
        <v>10101111</v>
      </c>
      <c r="C179" t="str">
        <f t="shared" si="5"/>
        <v>00AF</v>
      </c>
      <c r="D179" s="28" t="s">
        <v>341</v>
      </c>
    </row>
    <row r="180" spans="1:4" ht="15" customHeight="1" x14ac:dyDescent="0.25">
      <c r="A180">
        <v>176</v>
      </c>
      <c r="B180" t="str">
        <f t="shared" si="4"/>
        <v>10110000</v>
      </c>
      <c r="C180" t="str">
        <f t="shared" si="5"/>
        <v>00B0</v>
      </c>
      <c r="D180" s="28" t="s">
        <v>341</v>
      </c>
    </row>
    <row r="181" spans="1:4" ht="15" customHeight="1" x14ac:dyDescent="0.25">
      <c r="A181">
        <v>177</v>
      </c>
      <c r="B181" t="str">
        <f t="shared" si="4"/>
        <v>10110001</v>
      </c>
      <c r="C181" t="str">
        <f t="shared" si="5"/>
        <v>00B1</v>
      </c>
      <c r="D181" s="28" t="s">
        <v>341</v>
      </c>
    </row>
    <row r="182" spans="1:4" ht="15" customHeight="1" x14ac:dyDescent="0.25">
      <c r="A182">
        <v>178</v>
      </c>
      <c r="B182" t="str">
        <f t="shared" si="4"/>
        <v>10110010</v>
      </c>
      <c r="C182" t="str">
        <f t="shared" si="5"/>
        <v>00B2</v>
      </c>
      <c r="D182" s="28" t="s">
        <v>341</v>
      </c>
    </row>
    <row r="183" spans="1:4" ht="15" customHeight="1" x14ac:dyDescent="0.25">
      <c r="A183">
        <v>179</v>
      </c>
      <c r="B183" t="str">
        <f t="shared" si="4"/>
        <v>10110011</v>
      </c>
      <c r="C183" t="str">
        <f t="shared" si="5"/>
        <v>00B3</v>
      </c>
      <c r="D183" s="28" t="s">
        <v>341</v>
      </c>
    </row>
    <row r="184" spans="1:4" ht="15" customHeight="1" x14ac:dyDescent="0.25">
      <c r="A184">
        <v>180</v>
      </c>
      <c r="B184" t="str">
        <f t="shared" si="4"/>
        <v>10110100</v>
      </c>
      <c r="C184" t="str">
        <f t="shared" si="5"/>
        <v>00B4</v>
      </c>
      <c r="D184" s="28" t="s">
        <v>341</v>
      </c>
    </row>
    <row r="185" spans="1:4" ht="15" customHeight="1" x14ac:dyDescent="0.25">
      <c r="A185">
        <v>181</v>
      </c>
      <c r="B185" t="str">
        <f t="shared" si="4"/>
        <v>10110101</v>
      </c>
      <c r="C185" t="str">
        <f t="shared" si="5"/>
        <v>00B5</v>
      </c>
      <c r="D185" s="28" t="s">
        <v>341</v>
      </c>
    </row>
    <row r="186" spans="1:4" ht="15" customHeight="1" x14ac:dyDescent="0.25">
      <c r="A186">
        <v>182</v>
      </c>
      <c r="B186" t="str">
        <f t="shared" si="4"/>
        <v>10110110</v>
      </c>
      <c r="C186" t="str">
        <f t="shared" si="5"/>
        <v>00B6</v>
      </c>
      <c r="D186" s="28" t="s">
        <v>341</v>
      </c>
    </row>
    <row r="187" spans="1:4" ht="15" customHeight="1" x14ac:dyDescent="0.25">
      <c r="A187">
        <v>183</v>
      </c>
      <c r="B187" t="str">
        <f t="shared" si="4"/>
        <v>10110111</v>
      </c>
      <c r="C187" t="str">
        <f t="shared" si="5"/>
        <v>00B7</v>
      </c>
      <c r="D187" s="28" t="s">
        <v>341</v>
      </c>
    </row>
    <row r="188" spans="1:4" ht="15" customHeight="1" x14ac:dyDescent="0.25">
      <c r="A188">
        <v>184</v>
      </c>
      <c r="B188" t="str">
        <f t="shared" si="4"/>
        <v>10111000</v>
      </c>
      <c r="C188" t="str">
        <f t="shared" si="5"/>
        <v>00B8</v>
      </c>
      <c r="D188" s="28" t="s">
        <v>341</v>
      </c>
    </row>
    <row r="189" spans="1:4" ht="15" customHeight="1" x14ac:dyDescent="0.25">
      <c r="A189">
        <v>185</v>
      </c>
      <c r="B189" t="str">
        <f t="shared" si="4"/>
        <v>10111001</v>
      </c>
      <c r="C189" t="str">
        <f t="shared" si="5"/>
        <v>00B9</v>
      </c>
      <c r="D189" s="28" t="s">
        <v>341</v>
      </c>
    </row>
    <row r="190" spans="1:4" ht="15" customHeight="1" x14ac:dyDescent="0.25">
      <c r="A190">
        <v>186</v>
      </c>
      <c r="B190" t="str">
        <f t="shared" si="4"/>
        <v>10111010</v>
      </c>
      <c r="C190" t="str">
        <f t="shared" si="5"/>
        <v>00BA</v>
      </c>
      <c r="D190" s="28" t="s">
        <v>341</v>
      </c>
    </row>
    <row r="191" spans="1:4" ht="15" customHeight="1" x14ac:dyDescent="0.25">
      <c r="A191">
        <v>187</v>
      </c>
      <c r="B191" t="str">
        <f t="shared" si="4"/>
        <v>10111011</v>
      </c>
      <c r="C191" t="str">
        <f t="shared" si="5"/>
        <v>00BB</v>
      </c>
      <c r="D191" s="28" t="s">
        <v>341</v>
      </c>
    </row>
    <row r="192" spans="1:4" ht="15" customHeight="1" x14ac:dyDescent="0.25">
      <c r="A192">
        <v>188</v>
      </c>
      <c r="B192" t="str">
        <f t="shared" si="4"/>
        <v>10111100</v>
      </c>
      <c r="C192" t="str">
        <f t="shared" si="5"/>
        <v>00BC</v>
      </c>
      <c r="D192" s="28" t="s">
        <v>341</v>
      </c>
    </row>
    <row r="193" spans="1:9" ht="15" customHeight="1" x14ac:dyDescent="0.25">
      <c r="A193">
        <v>189</v>
      </c>
      <c r="B193" t="str">
        <f t="shared" si="4"/>
        <v>10111101</v>
      </c>
      <c r="C193" t="str">
        <f t="shared" si="5"/>
        <v>00BD</v>
      </c>
      <c r="D193" s="28" t="s">
        <v>341</v>
      </c>
    </row>
    <row r="194" spans="1:9" ht="15" customHeight="1" x14ac:dyDescent="0.25">
      <c r="A194">
        <v>190</v>
      </c>
      <c r="B194" t="str">
        <f t="shared" si="4"/>
        <v>10111110</v>
      </c>
      <c r="C194" t="str">
        <f t="shared" si="5"/>
        <v>00BE</v>
      </c>
      <c r="D194" s="28" t="s">
        <v>341</v>
      </c>
    </row>
    <row r="195" spans="1:9" ht="15" customHeight="1" x14ac:dyDescent="0.25">
      <c r="A195">
        <v>191</v>
      </c>
      <c r="B195" t="str">
        <f t="shared" si="4"/>
        <v>10111111</v>
      </c>
      <c r="C195" t="str">
        <f t="shared" si="5"/>
        <v>00BF</v>
      </c>
      <c r="D195" s="28" t="s">
        <v>341</v>
      </c>
    </row>
    <row r="196" spans="1:9" ht="15" customHeight="1" x14ac:dyDescent="0.25">
      <c r="A196">
        <v>192</v>
      </c>
      <c r="B196" t="str">
        <f t="shared" si="4"/>
        <v>11000000</v>
      </c>
      <c r="C196" t="str">
        <f t="shared" si="5"/>
        <v>00C0</v>
      </c>
      <c r="D196" s="28" t="s">
        <v>307</v>
      </c>
      <c r="E196" s="8" t="s">
        <v>450</v>
      </c>
      <c r="F196" s="8" t="s">
        <v>101</v>
      </c>
      <c r="G196" s="8" t="s">
        <v>451</v>
      </c>
      <c r="H196" s="7">
        <v>100</v>
      </c>
      <c r="I196" s="9" t="s">
        <v>399</v>
      </c>
    </row>
    <row r="197" spans="1:9" ht="15" customHeight="1" x14ac:dyDescent="0.25">
      <c r="A197">
        <v>193</v>
      </c>
      <c r="B197" t="str">
        <f t="shared" si="4"/>
        <v>11000001</v>
      </c>
      <c r="C197" t="str">
        <f t="shared" si="5"/>
        <v>00C1</v>
      </c>
      <c r="D197" s="28" t="s">
        <v>307</v>
      </c>
      <c r="E197" s="8" t="s">
        <v>452</v>
      </c>
      <c r="F197" s="8" t="s">
        <v>104</v>
      </c>
      <c r="G197" s="8"/>
      <c r="H197" s="7">
        <v>10</v>
      </c>
      <c r="I197" s="9" t="s">
        <v>399</v>
      </c>
    </row>
    <row r="198" spans="1:9" ht="15" customHeight="1" x14ac:dyDescent="0.25">
      <c r="A198">
        <v>194</v>
      </c>
      <c r="B198" t="str">
        <f t="shared" ref="B198:B259" si="6">DEC2BIN(A198)</f>
        <v>11000010</v>
      </c>
      <c r="C198" t="str">
        <f t="shared" ref="C198:C259" si="7">DEC2HEX(HEX2DEC("0001")+ROW(A194)-1,4)</f>
        <v>00C2</v>
      </c>
      <c r="D198" s="28" t="s">
        <v>138</v>
      </c>
      <c r="E198" s="8" t="s">
        <v>453</v>
      </c>
      <c r="F198" s="8" t="s">
        <v>106</v>
      </c>
      <c r="G198" s="8"/>
      <c r="H198" s="7">
        <v>10</v>
      </c>
      <c r="I198" s="9" t="s">
        <v>399</v>
      </c>
    </row>
    <row r="199" spans="1:9" ht="15" customHeight="1" x14ac:dyDescent="0.25">
      <c r="A199">
        <v>195</v>
      </c>
      <c r="B199" t="str">
        <f t="shared" si="6"/>
        <v>11000011</v>
      </c>
      <c r="C199" t="str">
        <f t="shared" si="7"/>
        <v>00C3</v>
      </c>
      <c r="D199" s="28" t="s">
        <v>138</v>
      </c>
      <c r="E199" s="8" t="s">
        <v>454</v>
      </c>
      <c r="F199" s="8" t="s">
        <v>108</v>
      </c>
      <c r="G199" s="8"/>
      <c r="H199" s="7">
        <v>10</v>
      </c>
      <c r="I199" s="9" t="s">
        <v>399</v>
      </c>
    </row>
    <row r="200" spans="1:9" ht="15" customHeight="1" x14ac:dyDescent="0.25">
      <c r="A200">
        <v>196</v>
      </c>
      <c r="B200" t="str">
        <f t="shared" si="6"/>
        <v>11000100</v>
      </c>
      <c r="C200" t="str">
        <f t="shared" si="7"/>
        <v>00C4</v>
      </c>
      <c r="D200" s="28" t="s">
        <v>138</v>
      </c>
      <c r="E200" s="11" t="s">
        <v>455</v>
      </c>
      <c r="F200" s="29" t="s">
        <v>84</v>
      </c>
      <c r="G200" s="8" t="s">
        <v>456</v>
      </c>
      <c r="H200" s="7">
        <v>100</v>
      </c>
      <c r="I200" s="9" t="s">
        <v>399</v>
      </c>
    </row>
    <row r="201" spans="1:9" ht="15" customHeight="1" x14ac:dyDescent="0.25">
      <c r="A201">
        <v>197</v>
      </c>
      <c r="B201" t="str">
        <f t="shared" si="6"/>
        <v>11000101</v>
      </c>
      <c r="C201" t="str">
        <f t="shared" si="7"/>
        <v>00C5</v>
      </c>
      <c r="D201" s="28" t="s">
        <v>138</v>
      </c>
      <c r="E201" s="11" t="s">
        <v>457</v>
      </c>
      <c r="F201" s="29" t="s">
        <v>86</v>
      </c>
      <c r="G201" s="8"/>
      <c r="H201" s="7">
        <v>100</v>
      </c>
      <c r="I201" s="9" t="s">
        <v>399</v>
      </c>
    </row>
    <row r="202" spans="1:9" ht="15" customHeight="1" x14ac:dyDescent="0.25">
      <c r="A202">
        <v>198</v>
      </c>
      <c r="B202" t="str">
        <f t="shared" si="6"/>
        <v>11000110</v>
      </c>
      <c r="C202" t="str">
        <f t="shared" si="7"/>
        <v>00C6</v>
      </c>
      <c r="D202" s="28" t="s">
        <v>138</v>
      </c>
      <c r="E202" s="11" t="s">
        <v>458</v>
      </c>
      <c r="F202" s="29" t="s">
        <v>88</v>
      </c>
      <c r="G202" s="8"/>
      <c r="H202" s="7">
        <v>10</v>
      </c>
      <c r="I202" s="9" t="s">
        <v>399</v>
      </c>
    </row>
    <row r="203" spans="1:9" ht="15" customHeight="1" x14ac:dyDescent="0.25">
      <c r="A203">
        <v>199</v>
      </c>
      <c r="B203" t="str">
        <f t="shared" si="6"/>
        <v>11000111</v>
      </c>
      <c r="C203" t="str">
        <f t="shared" si="7"/>
        <v>00C7</v>
      </c>
      <c r="D203" s="28" t="s">
        <v>138</v>
      </c>
    </row>
    <row r="204" spans="1:9" ht="15" customHeight="1" x14ac:dyDescent="0.25">
      <c r="A204">
        <v>200</v>
      </c>
      <c r="B204" t="str">
        <f t="shared" si="6"/>
        <v>11001000</v>
      </c>
      <c r="C204" t="str">
        <f t="shared" si="7"/>
        <v>00C8</v>
      </c>
      <c r="D204" s="28" t="s">
        <v>138</v>
      </c>
    </row>
    <row r="205" spans="1:9" ht="15" customHeight="1" x14ac:dyDescent="0.25">
      <c r="A205">
        <v>201</v>
      </c>
      <c r="B205" t="str">
        <f t="shared" si="6"/>
        <v>11001001</v>
      </c>
      <c r="C205" t="str">
        <f t="shared" si="7"/>
        <v>00C9</v>
      </c>
      <c r="D205" s="28" t="s">
        <v>138</v>
      </c>
    </row>
    <row r="206" spans="1:9" ht="15" customHeight="1" x14ac:dyDescent="0.25">
      <c r="A206">
        <v>202</v>
      </c>
      <c r="B206" t="str">
        <f t="shared" si="6"/>
        <v>11001010</v>
      </c>
      <c r="C206" t="str">
        <f t="shared" si="7"/>
        <v>00CA</v>
      </c>
      <c r="D206" s="28" t="s">
        <v>138</v>
      </c>
    </row>
    <row r="207" spans="1:9" ht="15" customHeight="1" x14ac:dyDescent="0.25">
      <c r="A207">
        <v>203</v>
      </c>
      <c r="B207" t="str">
        <f t="shared" si="6"/>
        <v>11001011</v>
      </c>
      <c r="C207" t="str">
        <f t="shared" si="7"/>
        <v>00CB</v>
      </c>
      <c r="D207" s="28" t="s">
        <v>138</v>
      </c>
    </row>
    <row r="208" spans="1:9" ht="15" customHeight="1" x14ac:dyDescent="0.25">
      <c r="A208">
        <v>204</v>
      </c>
      <c r="B208" t="str">
        <f t="shared" si="6"/>
        <v>11001100</v>
      </c>
      <c r="C208" t="str">
        <f t="shared" si="7"/>
        <v>00CC</v>
      </c>
      <c r="D208" s="28" t="s">
        <v>138</v>
      </c>
    </row>
    <row r="209" spans="1:4" ht="15" customHeight="1" x14ac:dyDescent="0.25">
      <c r="A209">
        <v>205</v>
      </c>
      <c r="B209" t="str">
        <f t="shared" si="6"/>
        <v>11001101</v>
      </c>
      <c r="C209" t="str">
        <f t="shared" si="7"/>
        <v>00CD</v>
      </c>
      <c r="D209" s="28" t="s">
        <v>138</v>
      </c>
    </row>
    <row r="210" spans="1:4" ht="15" customHeight="1" x14ac:dyDescent="0.25">
      <c r="A210">
        <v>206</v>
      </c>
      <c r="B210" t="str">
        <f t="shared" si="6"/>
        <v>11001110</v>
      </c>
      <c r="C210" t="str">
        <f t="shared" si="7"/>
        <v>00CE</v>
      </c>
      <c r="D210" s="28" t="s">
        <v>138</v>
      </c>
    </row>
    <row r="211" spans="1:4" ht="15" customHeight="1" x14ac:dyDescent="0.25">
      <c r="A211">
        <v>207</v>
      </c>
      <c r="B211" t="str">
        <f t="shared" si="6"/>
        <v>11001111</v>
      </c>
      <c r="C211" t="str">
        <f t="shared" si="7"/>
        <v>00CF</v>
      </c>
      <c r="D211" s="28" t="s">
        <v>138</v>
      </c>
    </row>
    <row r="212" spans="1:4" ht="15" customHeight="1" x14ac:dyDescent="0.25">
      <c r="A212">
        <v>208</v>
      </c>
      <c r="B212" t="str">
        <f t="shared" si="6"/>
        <v>11010000</v>
      </c>
      <c r="C212" t="str">
        <f t="shared" si="7"/>
        <v>00D0</v>
      </c>
      <c r="D212" s="28" t="s">
        <v>138</v>
      </c>
    </row>
    <row r="213" spans="1:4" ht="15" customHeight="1" x14ac:dyDescent="0.25">
      <c r="A213">
        <v>209</v>
      </c>
      <c r="B213" t="str">
        <f t="shared" si="6"/>
        <v>11010001</v>
      </c>
      <c r="C213" t="str">
        <f t="shared" si="7"/>
        <v>00D1</v>
      </c>
      <c r="D213" s="28" t="s">
        <v>138</v>
      </c>
    </row>
    <row r="214" spans="1:4" ht="15" customHeight="1" x14ac:dyDescent="0.25">
      <c r="A214">
        <v>210</v>
      </c>
      <c r="B214" t="str">
        <f t="shared" si="6"/>
        <v>11010010</v>
      </c>
      <c r="C214" t="str">
        <f t="shared" si="7"/>
        <v>00D2</v>
      </c>
      <c r="D214" s="28" t="s">
        <v>138</v>
      </c>
    </row>
    <row r="215" spans="1:4" ht="15" customHeight="1" x14ac:dyDescent="0.25">
      <c r="A215">
        <v>211</v>
      </c>
      <c r="B215" t="str">
        <f t="shared" si="6"/>
        <v>11010011</v>
      </c>
      <c r="C215" t="str">
        <f t="shared" si="7"/>
        <v>00D3</v>
      </c>
      <c r="D215" s="28" t="s">
        <v>138</v>
      </c>
    </row>
    <row r="216" spans="1:4" ht="15" customHeight="1" x14ac:dyDescent="0.25">
      <c r="A216">
        <v>212</v>
      </c>
      <c r="B216" t="str">
        <f t="shared" si="6"/>
        <v>11010100</v>
      </c>
      <c r="C216" t="str">
        <f t="shared" si="7"/>
        <v>00D4</v>
      </c>
      <c r="D216" s="28" t="s">
        <v>138</v>
      </c>
    </row>
    <row r="217" spans="1:4" ht="15" customHeight="1" x14ac:dyDescent="0.25">
      <c r="A217">
        <v>213</v>
      </c>
      <c r="B217" t="str">
        <f t="shared" si="6"/>
        <v>11010101</v>
      </c>
      <c r="C217" t="str">
        <f t="shared" si="7"/>
        <v>00D5</v>
      </c>
      <c r="D217" s="28" t="s">
        <v>138</v>
      </c>
    </row>
    <row r="218" spans="1:4" ht="15" customHeight="1" x14ac:dyDescent="0.25">
      <c r="A218">
        <v>214</v>
      </c>
      <c r="B218" t="str">
        <f t="shared" si="6"/>
        <v>11010110</v>
      </c>
      <c r="C218" t="str">
        <f t="shared" si="7"/>
        <v>00D6</v>
      </c>
      <c r="D218" s="28" t="s">
        <v>138</v>
      </c>
    </row>
    <row r="219" spans="1:4" ht="15" customHeight="1" x14ac:dyDescent="0.25">
      <c r="A219">
        <v>215</v>
      </c>
      <c r="B219" t="str">
        <f t="shared" si="6"/>
        <v>11010111</v>
      </c>
      <c r="C219" t="str">
        <f t="shared" si="7"/>
        <v>00D7</v>
      </c>
      <c r="D219" s="28" t="s">
        <v>138</v>
      </c>
    </row>
    <row r="220" spans="1:4" ht="15" customHeight="1" x14ac:dyDescent="0.25">
      <c r="A220">
        <v>216</v>
      </c>
      <c r="B220" t="str">
        <f t="shared" si="6"/>
        <v>11011000</v>
      </c>
      <c r="C220" t="str">
        <f t="shared" si="7"/>
        <v>00D8</v>
      </c>
      <c r="D220" s="28" t="s">
        <v>138</v>
      </c>
    </row>
    <row r="221" spans="1:4" ht="15" customHeight="1" x14ac:dyDescent="0.25">
      <c r="A221">
        <v>217</v>
      </c>
      <c r="B221" t="str">
        <f t="shared" si="6"/>
        <v>11011001</v>
      </c>
      <c r="C221" t="str">
        <f t="shared" si="7"/>
        <v>00D9</v>
      </c>
      <c r="D221" s="28" t="s">
        <v>138</v>
      </c>
    </row>
    <row r="222" spans="1:4" ht="15" customHeight="1" x14ac:dyDescent="0.25">
      <c r="A222">
        <v>218</v>
      </c>
      <c r="B222" t="str">
        <f t="shared" si="6"/>
        <v>11011010</v>
      </c>
      <c r="C222" t="str">
        <f t="shared" si="7"/>
        <v>00DA</v>
      </c>
      <c r="D222" s="28" t="s">
        <v>138</v>
      </c>
    </row>
    <row r="223" spans="1:4" ht="15" customHeight="1" x14ac:dyDescent="0.25">
      <c r="A223">
        <v>219</v>
      </c>
      <c r="B223" t="str">
        <f t="shared" si="6"/>
        <v>11011011</v>
      </c>
      <c r="C223" t="str">
        <f t="shared" si="7"/>
        <v>00DB</v>
      </c>
      <c r="D223" s="28" t="s">
        <v>138</v>
      </c>
    </row>
    <row r="224" spans="1:4" ht="15" customHeight="1" x14ac:dyDescent="0.25">
      <c r="A224">
        <v>220</v>
      </c>
      <c r="B224" t="str">
        <f t="shared" si="6"/>
        <v>11011100</v>
      </c>
      <c r="C224" t="str">
        <f t="shared" si="7"/>
        <v>00DC</v>
      </c>
      <c r="D224" s="28" t="s">
        <v>138</v>
      </c>
    </row>
    <row r="225" spans="1:4" ht="15" customHeight="1" x14ac:dyDescent="0.25">
      <c r="A225">
        <v>221</v>
      </c>
      <c r="B225" t="str">
        <f t="shared" si="6"/>
        <v>11011101</v>
      </c>
      <c r="C225" t="str">
        <f t="shared" si="7"/>
        <v>00DD</v>
      </c>
      <c r="D225" s="28" t="s">
        <v>138</v>
      </c>
    </row>
    <row r="226" spans="1:4" ht="15" customHeight="1" x14ac:dyDescent="0.25">
      <c r="A226">
        <v>222</v>
      </c>
      <c r="B226" t="str">
        <f t="shared" si="6"/>
        <v>11011110</v>
      </c>
      <c r="C226" t="str">
        <f t="shared" si="7"/>
        <v>00DE</v>
      </c>
      <c r="D226" s="28" t="s">
        <v>138</v>
      </c>
    </row>
    <row r="227" spans="1:4" ht="15" customHeight="1" x14ac:dyDescent="0.25">
      <c r="A227">
        <v>223</v>
      </c>
      <c r="B227" t="str">
        <f t="shared" si="6"/>
        <v>11011111</v>
      </c>
      <c r="C227" t="str">
        <f t="shared" si="7"/>
        <v>00DF</v>
      </c>
      <c r="D227" s="28" t="s">
        <v>138</v>
      </c>
    </row>
    <row r="228" spans="1:4" ht="15" customHeight="1" x14ac:dyDescent="0.25">
      <c r="A228">
        <v>224</v>
      </c>
      <c r="B228" t="str">
        <f t="shared" si="6"/>
        <v>11100000</v>
      </c>
      <c r="C228" t="str">
        <f t="shared" si="7"/>
        <v>00E0</v>
      </c>
      <c r="D228" s="28" t="s">
        <v>138</v>
      </c>
    </row>
    <row r="229" spans="1:4" ht="15" customHeight="1" x14ac:dyDescent="0.25">
      <c r="A229">
        <v>225</v>
      </c>
      <c r="B229" t="str">
        <f t="shared" si="6"/>
        <v>11100001</v>
      </c>
      <c r="C229" t="str">
        <f t="shared" si="7"/>
        <v>00E1</v>
      </c>
      <c r="D229" s="28" t="s">
        <v>138</v>
      </c>
    </row>
    <row r="230" spans="1:4" ht="15" customHeight="1" x14ac:dyDescent="0.25">
      <c r="A230">
        <v>226</v>
      </c>
      <c r="B230" t="str">
        <f t="shared" si="6"/>
        <v>11100010</v>
      </c>
      <c r="C230" t="str">
        <f t="shared" si="7"/>
        <v>00E2</v>
      </c>
      <c r="D230" s="28" t="s">
        <v>138</v>
      </c>
    </row>
    <row r="231" spans="1:4" ht="15" customHeight="1" x14ac:dyDescent="0.25">
      <c r="A231">
        <v>227</v>
      </c>
      <c r="B231" t="str">
        <f t="shared" si="6"/>
        <v>11100011</v>
      </c>
      <c r="C231" t="str">
        <f t="shared" si="7"/>
        <v>00E3</v>
      </c>
      <c r="D231" s="28" t="s">
        <v>138</v>
      </c>
    </row>
    <row r="232" spans="1:4" ht="15" customHeight="1" x14ac:dyDescent="0.25">
      <c r="A232">
        <v>228</v>
      </c>
      <c r="B232" t="str">
        <f t="shared" si="6"/>
        <v>11100100</v>
      </c>
      <c r="C232" t="str">
        <f t="shared" si="7"/>
        <v>00E4</v>
      </c>
      <c r="D232" s="28" t="s">
        <v>138</v>
      </c>
    </row>
    <row r="233" spans="1:4" ht="15" customHeight="1" x14ac:dyDescent="0.25">
      <c r="A233">
        <v>229</v>
      </c>
      <c r="B233" t="str">
        <f t="shared" si="6"/>
        <v>11100101</v>
      </c>
      <c r="C233" t="str">
        <f t="shared" si="7"/>
        <v>00E5</v>
      </c>
      <c r="D233" s="28" t="s">
        <v>138</v>
      </c>
    </row>
    <row r="234" spans="1:4" ht="15" customHeight="1" x14ac:dyDescent="0.25">
      <c r="A234">
        <v>230</v>
      </c>
      <c r="B234" t="str">
        <f t="shared" si="6"/>
        <v>11100110</v>
      </c>
      <c r="C234" t="str">
        <f t="shared" si="7"/>
        <v>00E6</v>
      </c>
      <c r="D234" s="28" t="s">
        <v>138</v>
      </c>
    </row>
    <row r="235" spans="1:4" ht="15" customHeight="1" x14ac:dyDescent="0.25">
      <c r="A235">
        <v>231</v>
      </c>
      <c r="B235" t="str">
        <f t="shared" si="6"/>
        <v>11100111</v>
      </c>
      <c r="C235" t="str">
        <f t="shared" si="7"/>
        <v>00E7</v>
      </c>
      <c r="D235" s="28" t="s">
        <v>138</v>
      </c>
    </row>
    <row r="236" spans="1:4" ht="15" customHeight="1" x14ac:dyDescent="0.25">
      <c r="A236">
        <v>232</v>
      </c>
      <c r="B236" t="str">
        <f t="shared" si="6"/>
        <v>11101000</v>
      </c>
      <c r="C236" t="str">
        <f t="shared" si="7"/>
        <v>00E8</v>
      </c>
      <c r="D236" s="28" t="s">
        <v>138</v>
      </c>
    </row>
    <row r="237" spans="1:4" ht="15" customHeight="1" x14ac:dyDescent="0.25">
      <c r="A237">
        <v>233</v>
      </c>
      <c r="B237" t="str">
        <f t="shared" si="6"/>
        <v>11101001</v>
      </c>
      <c r="C237" t="str">
        <f t="shared" si="7"/>
        <v>00E9</v>
      </c>
      <c r="D237" s="28" t="s">
        <v>138</v>
      </c>
    </row>
    <row r="238" spans="1:4" ht="15" customHeight="1" x14ac:dyDescent="0.25">
      <c r="A238">
        <v>234</v>
      </c>
      <c r="B238" t="str">
        <f t="shared" si="6"/>
        <v>11101010</v>
      </c>
      <c r="C238" t="str">
        <f t="shared" si="7"/>
        <v>00EA</v>
      </c>
      <c r="D238" s="28" t="s">
        <v>138</v>
      </c>
    </row>
    <row r="239" spans="1:4" ht="15" customHeight="1" x14ac:dyDescent="0.25">
      <c r="A239">
        <v>235</v>
      </c>
      <c r="B239" t="str">
        <f t="shared" si="6"/>
        <v>11101011</v>
      </c>
      <c r="C239" t="str">
        <f t="shared" si="7"/>
        <v>00EB</v>
      </c>
      <c r="D239" s="28" t="s">
        <v>138</v>
      </c>
    </row>
    <row r="240" spans="1:4" ht="15" customHeight="1" x14ac:dyDescent="0.25">
      <c r="A240">
        <v>236</v>
      </c>
      <c r="B240" t="str">
        <f t="shared" si="6"/>
        <v>11101100</v>
      </c>
      <c r="C240" t="str">
        <f t="shared" si="7"/>
        <v>00EC</v>
      </c>
      <c r="D240" s="28" t="s">
        <v>138</v>
      </c>
    </row>
    <row r="241" spans="1:4" ht="15" customHeight="1" x14ac:dyDescent="0.25">
      <c r="A241">
        <v>237</v>
      </c>
      <c r="B241" t="str">
        <f t="shared" si="6"/>
        <v>11101101</v>
      </c>
      <c r="C241" t="str">
        <f t="shared" si="7"/>
        <v>00ED</v>
      </c>
      <c r="D241" s="28" t="s">
        <v>138</v>
      </c>
    </row>
    <row r="242" spans="1:4" ht="15" customHeight="1" x14ac:dyDescent="0.25">
      <c r="A242">
        <v>238</v>
      </c>
      <c r="B242" t="str">
        <f t="shared" si="6"/>
        <v>11101110</v>
      </c>
      <c r="C242" t="str">
        <f t="shared" si="7"/>
        <v>00EE</v>
      </c>
      <c r="D242" s="28" t="s">
        <v>138</v>
      </c>
    </row>
    <row r="243" spans="1:4" ht="15" customHeight="1" x14ac:dyDescent="0.25">
      <c r="A243">
        <v>239</v>
      </c>
      <c r="B243" t="str">
        <f t="shared" si="6"/>
        <v>11101111</v>
      </c>
      <c r="C243" t="str">
        <f t="shared" si="7"/>
        <v>00EF</v>
      </c>
      <c r="D243" s="28" t="s">
        <v>138</v>
      </c>
    </row>
    <row r="244" spans="1:4" ht="15" customHeight="1" x14ac:dyDescent="0.25">
      <c r="A244">
        <v>240</v>
      </c>
      <c r="B244" t="str">
        <f t="shared" si="6"/>
        <v>11110000</v>
      </c>
      <c r="C244" t="str">
        <f t="shared" si="7"/>
        <v>00F0</v>
      </c>
      <c r="D244" s="28" t="s">
        <v>138</v>
      </c>
    </row>
    <row r="245" spans="1:4" ht="15" customHeight="1" x14ac:dyDescent="0.25">
      <c r="A245">
        <v>241</v>
      </c>
      <c r="B245" t="str">
        <f t="shared" si="6"/>
        <v>11110001</v>
      </c>
      <c r="C245" t="str">
        <f t="shared" si="7"/>
        <v>00F1</v>
      </c>
      <c r="D245" s="28" t="s">
        <v>138</v>
      </c>
    </row>
    <row r="246" spans="1:4" ht="15" customHeight="1" x14ac:dyDescent="0.25">
      <c r="A246">
        <v>242</v>
      </c>
      <c r="B246" t="str">
        <f t="shared" si="6"/>
        <v>11110010</v>
      </c>
      <c r="C246" t="str">
        <f t="shared" si="7"/>
        <v>00F2</v>
      </c>
      <c r="D246" s="28" t="s">
        <v>138</v>
      </c>
    </row>
    <row r="247" spans="1:4" ht="15" customHeight="1" x14ac:dyDescent="0.25">
      <c r="A247">
        <v>243</v>
      </c>
      <c r="B247" t="str">
        <f t="shared" si="6"/>
        <v>11110011</v>
      </c>
      <c r="C247" t="str">
        <f t="shared" si="7"/>
        <v>00F3</v>
      </c>
      <c r="D247" s="28" t="s">
        <v>138</v>
      </c>
    </row>
    <row r="248" spans="1:4" ht="15" customHeight="1" x14ac:dyDescent="0.25">
      <c r="A248">
        <v>244</v>
      </c>
      <c r="B248" t="str">
        <f t="shared" si="6"/>
        <v>11110100</v>
      </c>
      <c r="C248" t="str">
        <f t="shared" si="7"/>
        <v>00F4</v>
      </c>
      <c r="D248" s="28" t="s">
        <v>138</v>
      </c>
    </row>
    <row r="249" spans="1:4" ht="15" customHeight="1" x14ac:dyDescent="0.25">
      <c r="A249">
        <v>245</v>
      </c>
      <c r="B249" t="str">
        <f t="shared" si="6"/>
        <v>11110101</v>
      </c>
      <c r="C249" t="str">
        <f t="shared" si="7"/>
        <v>00F5</v>
      </c>
      <c r="D249" s="28" t="s">
        <v>138</v>
      </c>
    </row>
    <row r="250" spans="1:4" ht="15" customHeight="1" x14ac:dyDescent="0.25">
      <c r="A250">
        <v>246</v>
      </c>
      <c r="B250" t="str">
        <f t="shared" si="6"/>
        <v>11110110</v>
      </c>
      <c r="C250" t="str">
        <f t="shared" si="7"/>
        <v>00F6</v>
      </c>
      <c r="D250" s="28" t="s">
        <v>138</v>
      </c>
    </row>
    <row r="251" spans="1:4" ht="15" customHeight="1" x14ac:dyDescent="0.25">
      <c r="A251">
        <v>247</v>
      </c>
      <c r="B251" t="str">
        <f t="shared" si="6"/>
        <v>11110111</v>
      </c>
      <c r="C251" t="str">
        <f t="shared" si="7"/>
        <v>00F7</v>
      </c>
      <c r="D251" s="28" t="s">
        <v>138</v>
      </c>
    </row>
    <row r="252" spans="1:4" ht="15" customHeight="1" x14ac:dyDescent="0.25">
      <c r="A252">
        <v>248</v>
      </c>
      <c r="B252" t="str">
        <f t="shared" si="6"/>
        <v>11111000</v>
      </c>
      <c r="C252" t="str">
        <f t="shared" si="7"/>
        <v>00F8</v>
      </c>
      <c r="D252" s="28" t="s">
        <v>138</v>
      </c>
    </row>
    <row r="253" spans="1:4" ht="15" customHeight="1" x14ac:dyDescent="0.25">
      <c r="A253">
        <v>249</v>
      </c>
      <c r="B253" t="str">
        <f t="shared" si="6"/>
        <v>11111001</v>
      </c>
      <c r="C253" t="str">
        <f t="shared" si="7"/>
        <v>00F9</v>
      </c>
      <c r="D253" s="28" t="s">
        <v>138</v>
      </c>
    </row>
    <row r="254" spans="1:4" ht="15" customHeight="1" x14ac:dyDescent="0.25">
      <c r="A254">
        <v>250</v>
      </c>
      <c r="B254" t="str">
        <f t="shared" si="6"/>
        <v>11111010</v>
      </c>
      <c r="C254" t="str">
        <f t="shared" si="7"/>
        <v>00FA</v>
      </c>
      <c r="D254" s="28" t="s">
        <v>138</v>
      </c>
    </row>
    <row r="255" spans="1:4" ht="15" customHeight="1" x14ac:dyDescent="0.25">
      <c r="A255">
        <v>251</v>
      </c>
      <c r="B255" t="str">
        <f t="shared" si="6"/>
        <v>11111011</v>
      </c>
      <c r="C255" t="str">
        <f t="shared" si="7"/>
        <v>00FB</v>
      </c>
      <c r="D255" s="28" t="s">
        <v>138</v>
      </c>
    </row>
    <row r="256" spans="1:4" ht="15" customHeight="1" x14ac:dyDescent="0.25">
      <c r="A256">
        <v>252</v>
      </c>
      <c r="B256" t="str">
        <f t="shared" si="6"/>
        <v>11111100</v>
      </c>
      <c r="C256" t="str">
        <f t="shared" si="7"/>
        <v>00FC</v>
      </c>
      <c r="D256" s="28" t="s">
        <v>138</v>
      </c>
    </row>
    <row r="257" spans="1:4" ht="15" customHeight="1" x14ac:dyDescent="0.25">
      <c r="A257">
        <v>253</v>
      </c>
      <c r="B257" t="str">
        <f t="shared" si="6"/>
        <v>11111101</v>
      </c>
      <c r="C257" t="str">
        <f t="shared" si="7"/>
        <v>00FD</v>
      </c>
      <c r="D257" s="28" t="s">
        <v>138</v>
      </c>
    </row>
    <row r="258" spans="1:4" ht="15" customHeight="1" x14ac:dyDescent="0.25">
      <c r="A258">
        <v>254</v>
      </c>
      <c r="B258" t="str">
        <f t="shared" si="6"/>
        <v>11111110</v>
      </c>
      <c r="C258" t="str">
        <f t="shared" si="7"/>
        <v>00FE</v>
      </c>
      <c r="D258" s="28" t="s">
        <v>138</v>
      </c>
    </row>
    <row r="259" spans="1:4" ht="15" customHeight="1" x14ac:dyDescent="0.25">
      <c r="A259">
        <v>255</v>
      </c>
      <c r="B259" t="str">
        <f t="shared" si="6"/>
        <v>11111111</v>
      </c>
      <c r="C259" t="str">
        <f t="shared" si="7"/>
        <v>00FF</v>
      </c>
      <c r="D259" s="28" t="s">
        <v>138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3C67-34FD-4D62-B436-840C8A2412FC}">
  <dimension ref="A1:AE987"/>
  <sheetViews>
    <sheetView workbookViewId="0">
      <selection activeCell="F8" sqref="F8"/>
    </sheetView>
  </sheetViews>
  <sheetFormatPr defaultColWidth="12.54296875" defaultRowHeight="11.5" x14ac:dyDescent="0.15"/>
  <cols>
    <col min="1" max="1" width="12.7265625" style="9" bestFit="1" customWidth="1"/>
    <col min="2" max="2" width="13.453125" style="9" bestFit="1" customWidth="1"/>
    <col min="3" max="3" width="12.54296875" style="9"/>
    <col min="4" max="4" width="11" style="9" customWidth="1"/>
    <col min="5" max="5" width="30.1796875" style="9" bestFit="1" customWidth="1"/>
    <col min="6" max="6" width="57.26953125" style="9" bestFit="1" customWidth="1"/>
    <col min="7" max="7" width="13.54296875" style="9" customWidth="1"/>
    <col min="8" max="8" width="12.7265625" style="12" bestFit="1" customWidth="1"/>
    <col min="9" max="9" width="17.1796875" style="9" bestFit="1" customWidth="1"/>
    <col min="10" max="18" width="12.54296875" style="9"/>
    <col min="19" max="19" width="15.26953125" style="9" bestFit="1" customWidth="1"/>
    <col min="20" max="16384" width="12.54296875" style="9"/>
  </cols>
  <sheetData>
    <row r="1" spans="1:31" x14ac:dyDescent="0.15">
      <c r="A1" s="6" t="s">
        <v>146</v>
      </c>
      <c r="B1" s="7"/>
      <c r="C1" s="6"/>
      <c r="D1" s="8"/>
      <c r="E1" s="8"/>
      <c r="F1" s="8"/>
      <c r="G1" s="8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x14ac:dyDescent="0.15">
      <c r="A2" s="7"/>
      <c r="B2" s="7"/>
      <c r="C2" s="7"/>
      <c r="D2" s="8"/>
      <c r="E2" s="8"/>
      <c r="F2" s="8"/>
      <c r="G2" s="8"/>
      <c r="H2" s="6" t="s">
        <v>144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15">
      <c r="A3" s="6" t="s">
        <v>143</v>
      </c>
      <c r="B3" s="7"/>
      <c r="C3" s="7"/>
      <c r="D3" s="8"/>
      <c r="E3" s="8"/>
      <c r="F3" s="8"/>
      <c r="G3" s="8"/>
      <c r="H3" s="6" t="s"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15">
      <c r="A4" s="19" t="s">
        <v>1</v>
      </c>
      <c r="B4" s="19" t="s">
        <v>2</v>
      </c>
      <c r="C4" s="19" t="s">
        <v>3</v>
      </c>
      <c r="D4" s="20" t="s">
        <v>4</v>
      </c>
      <c r="E4" s="20" t="s">
        <v>5</v>
      </c>
      <c r="F4" s="20" t="s">
        <v>6</v>
      </c>
      <c r="G4" s="20" t="s">
        <v>141</v>
      </c>
      <c r="H4" s="19" t="s">
        <v>7</v>
      </c>
      <c r="I4" s="20" t="s">
        <v>8</v>
      </c>
      <c r="J4" s="20" t="s">
        <v>196</v>
      </c>
      <c r="K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15">
      <c r="A5" s="7">
        <v>0</v>
      </c>
      <c r="B5" s="7">
        <f t="shared" ref="B5:B233" si="0">DEC2BIN(A5/512)*1000000000+DEC2BIN(MOD(A5,512))</f>
        <v>0</v>
      </c>
      <c r="C5" s="7" t="str">
        <f t="shared" ref="C5:C233" si="1">DEC2HEX(A5)</f>
        <v>0</v>
      </c>
      <c r="D5" s="8" t="str">
        <f t="shared" ref="D5:D68" si="2">IF(A5=0,"-", IF(A5&lt;1024,"文字列",IF(A5&lt;1280,"uint32_t",IF(A5&lt;1536,"uint16_t",IF(A5&lt;1792,"float","fp16")))))</f>
        <v>-</v>
      </c>
      <c r="E5" s="8"/>
      <c r="F5" s="8" t="s">
        <v>17</v>
      </c>
      <c r="G5" s="8"/>
      <c r="H5" s="7" t="s">
        <v>26</v>
      </c>
      <c r="I5" s="8"/>
      <c r="J5" s="8"/>
      <c r="K5" s="8"/>
      <c r="T5" s="8"/>
      <c r="U5" s="8"/>
      <c r="X5" s="8"/>
      <c r="Z5" s="8"/>
      <c r="AA5" s="8"/>
      <c r="AB5" s="8"/>
      <c r="AC5" s="8"/>
      <c r="AD5" s="8"/>
      <c r="AE5" s="8"/>
    </row>
    <row r="6" spans="1:31" x14ac:dyDescent="0.15">
      <c r="A6" s="7">
        <v>1</v>
      </c>
      <c r="B6" s="7">
        <f t="shared" si="0"/>
        <v>1</v>
      </c>
      <c r="C6" s="7" t="str">
        <f t="shared" si="1"/>
        <v>1</v>
      </c>
      <c r="D6" s="8" t="str">
        <f t="shared" si="2"/>
        <v>文字列</v>
      </c>
      <c r="E6" s="8" t="s">
        <v>24</v>
      </c>
      <c r="F6" s="8" t="s">
        <v>25</v>
      </c>
      <c r="G6" s="8"/>
      <c r="H6" s="7" t="s">
        <v>26</v>
      </c>
      <c r="I6" s="8" t="s">
        <v>398</v>
      </c>
      <c r="J6" s="8"/>
      <c r="K6" s="8"/>
      <c r="L6" s="9" t="s">
        <v>335</v>
      </c>
      <c r="M6" s="9" t="s">
        <v>379</v>
      </c>
      <c r="T6" s="8"/>
      <c r="U6" s="8"/>
      <c r="X6" s="8"/>
      <c r="AB6" s="8"/>
      <c r="AC6" s="8"/>
      <c r="AD6" s="8"/>
      <c r="AE6" s="8"/>
    </row>
    <row r="7" spans="1:31" x14ac:dyDescent="0.15">
      <c r="A7" s="7">
        <v>2</v>
      </c>
      <c r="B7" s="7">
        <f t="shared" si="0"/>
        <v>10</v>
      </c>
      <c r="C7" s="7" t="str">
        <f t="shared" si="1"/>
        <v>2</v>
      </c>
      <c r="D7" s="8" t="str">
        <f t="shared" si="2"/>
        <v>文字列</v>
      </c>
      <c r="E7" s="8" t="s">
        <v>28</v>
      </c>
      <c r="F7" s="8" t="s">
        <v>29</v>
      </c>
      <c r="G7" s="8"/>
      <c r="H7" s="7" t="s">
        <v>26</v>
      </c>
      <c r="I7" s="8" t="s">
        <v>398</v>
      </c>
      <c r="J7" s="8"/>
      <c r="K7" s="8"/>
      <c r="L7" s="13" t="s">
        <v>9</v>
      </c>
      <c r="M7" s="13" t="s">
        <v>198</v>
      </c>
      <c r="N7" s="14" t="s">
        <v>398</v>
      </c>
      <c r="O7" s="13" t="s">
        <v>400</v>
      </c>
      <c r="P7" s="13" t="s">
        <v>402</v>
      </c>
      <c r="Q7" s="14" t="s">
        <v>403</v>
      </c>
      <c r="R7" s="14" t="s">
        <v>405</v>
      </c>
      <c r="S7" s="14" t="s">
        <v>406</v>
      </c>
      <c r="T7" s="13" t="s">
        <v>147</v>
      </c>
      <c r="U7" s="13"/>
      <c r="V7" s="13"/>
      <c r="W7" s="13"/>
      <c r="X7" s="13" t="s">
        <v>142</v>
      </c>
      <c r="Z7" s="8"/>
      <c r="AA7" s="8"/>
      <c r="AB7" s="8"/>
      <c r="AC7" s="8"/>
      <c r="AD7" s="8"/>
      <c r="AE7" s="8"/>
    </row>
    <row r="8" spans="1:31" x14ac:dyDescent="0.15">
      <c r="A8" s="7">
        <v>3</v>
      </c>
      <c r="B8" s="7">
        <f t="shared" si="0"/>
        <v>11</v>
      </c>
      <c r="C8" s="7" t="str">
        <f t="shared" si="1"/>
        <v>3</v>
      </c>
      <c r="D8" s="8" t="str">
        <f t="shared" si="2"/>
        <v>文字列</v>
      </c>
      <c r="E8" s="8" t="s">
        <v>206</v>
      </c>
      <c r="F8" s="8" t="s">
        <v>422</v>
      </c>
      <c r="G8" s="8"/>
      <c r="H8" s="7">
        <v>10</v>
      </c>
      <c r="I8" s="8" t="s">
        <v>15</v>
      </c>
      <c r="J8" s="8"/>
      <c r="K8" s="8"/>
      <c r="L8" s="13" t="s">
        <v>336</v>
      </c>
      <c r="M8" s="13">
        <f>SUMIF($I:$I,M7,$H:$H)</f>
        <v>310</v>
      </c>
      <c r="N8" s="13">
        <f>SUMIF($I:$I,N7,$H:$H)</f>
        <v>0</v>
      </c>
      <c r="O8" s="13">
        <f t="shared" ref="O8:S8" si="3">SUMIF($I:$I,O7,$H:$H)</f>
        <v>400</v>
      </c>
      <c r="P8" s="13">
        <f t="shared" si="3"/>
        <v>40</v>
      </c>
      <c r="Q8" s="13">
        <f t="shared" si="3"/>
        <v>20</v>
      </c>
      <c r="R8" s="13">
        <f t="shared" si="3"/>
        <v>10</v>
      </c>
      <c r="S8" s="13">
        <f t="shared" si="3"/>
        <v>0</v>
      </c>
      <c r="T8" s="13">
        <f t="shared" ref="T8:W8" si="4">SUMIF($I:$I,T7,$H:$H)</f>
        <v>0</v>
      </c>
      <c r="U8" s="13">
        <f t="shared" si="4"/>
        <v>0</v>
      </c>
      <c r="V8" s="13">
        <f t="shared" si="4"/>
        <v>0</v>
      </c>
      <c r="W8" s="13">
        <f t="shared" si="4"/>
        <v>0</v>
      </c>
      <c r="X8" s="13">
        <f>SUM(M8:W8)</f>
        <v>780</v>
      </c>
      <c r="Z8" s="8"/>
      <c r="AA8" s="8"/>
      <c r="AB8" s="8"/>
      <c r="AC8" s="8"/>
      <c r="AD8" s="8"/>
      <c r="AE8" s="8"/>
    </row>
    <row r="9" spans="1:31" x14ac:dyDescent="0.15">
      <c r="A9" s="7">
        <v>4</v>
      </c>
      <c r="B9" s="7">
        <f t="shared" si="0"/>
        <v>100</v>
      </c>
      <c r="C9" s="7" t="str">
        <f t="shared" si="1"/>
        <v>4</v>
      </c>
      <c r="D9" s="8" t="str">
        <f t="shared" si="2"/>
        <v>文字列</v>
      </c>
      <c r="E9" s="8" t="s">
        <v>207</v>
      </c>
      <c r="F9" s="8" t="s">
        <v>35</v>
      </c>
      <c r="G9" s="8"/>
      <c r="H9" s="7" t="s">
        <v>26</v>
      </c>
      <c r="I9" s="8" t="s">
        <v>15</v>
      </c>
      <c r="J9" s="8"/>
      <c r="K9" s="8"/>
      <c r="L9" s="8"/>
      <c r="M9" s="8"/>
      <c r="O9" s="8"/>
      <c r="P9" s="8"/>
      <c r="Q9" s="8"/>
      <c r="R9" s="8"/>
      <c r="S9" s="8"/>
      <c r="T9" s="8"/>
      <c r="U9" s="8"/>
      <c r="X9" s="8"/>
      <c r="Z9" s="8"/>
      <c r="AA9" s="8"/>
      <c r="AB9" s="8"/>
      <c r="AC9" s="8"/>
      <c r="AD9" s="8"/>
      <c r="AE9" s="8"/>
    </row>
    <row r="10" spans="1:31" x14ac:dyDescent="0.15">
      <c r="A10" s="7">
        <v>5</v>
      </c>
      <c r="B10" s="7">
        <f t="shared" si="0"/>
        <v>101</v>
      </c>
      <c r="C10" s="7" t="str">
        <f t="shared" si="1"/>
        <v>5</v>
      </c>
      <c r="D10" s="8" t="str">
        <f t="shared" si="2"/>
        <v>文字列</v>
      </c>
      <c r="E10" s="8" t="s">
        <v>37</v>
      </c>
      <c r="F10" s="8" t="s">
        <v>38</v>
      </c>
      <c r="G10" s="8"/>
      <c r="H10" s="7" t="s">
        <v>26</v>
      </c>
      <c r="I10" s="8" t="s">
        <v>398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X10" s="8"/>
      <c r="Y10" s="8"/>
      <c r="Z10" s="8"/>
      <c r="AA10" s="8"/>
      <c r="AB10" s="8"/>
      <c r="AC10" s="8"/>
      <c r="AD10" s="8"/>
      <c r="AE10" s="8"/>
    </row>
    <row r="11" spans="1:31" x14ac:dyDescent="0.15">
      <c r="A11" s="7">
        <v>6</v>
      </c>
      <c r="B11" s="7">
        <f t="shared" si="0"/>
        <v>110</v>
      </c>
      <c r="C11" s="7" t="str">
        <f t="shared" si="1"/>
        <v>6</v>
      </c>
      <c r="D11" s="8" t="str">
        <f t="shared" si="2"/>
        <v>文字列</v>
      </c>
      <c r="E11" s="8" t="s">
        <v>208</v>
      </c>
      <c r="F11" s="8" t="s">
        <v>213</v>
      </c>
      <c r="G11" s="8"/>
      <c r="H11" s="7">
        <v>100</v>
      </c>
      <c r="I11" s="8" t="s">
        <v>15</v>
      </c>
      <c r="J11" s="8"/>
      <c r="K11" s="8"/>
      <c r="O11" s="8"/>
      <c r="P11" s="8"/>
      <c r="Q11" s="8"/>
      <c r="R11" s="8"/>
      <c r="S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15">
      <c r="A12" s="7">
        <v>7</v>
      </c>
      <c r="B12" s="7">
        <f t="shared" si="0"/>
        <v>111</v>
      </c>
      <c r="C12" s="7" t="str">
        <f t="shared" si="1"/>
        <v>7</v>
      </c>
      <c r="D12" s="8" t="str">
        <f t="shared" si="2"/>
        <v>文字列</v>
      </c>
      <c r="E12" s="8"/>
      <c r="F12" s="8"/>
      <c r="G12" s="8"/>
      <c r="H12" s="7"/>
      <c r="I12" s="8"/>
      <c r="J12" s="8"/>
      <c r="K12" s="8"/>
      <c r="S12" s="1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15">
      <c r="A13" s="7">
        <v>8</v>
      </c>
      <c r="B13" s="7">
        <f t="shared" si="0"/>
        <v>1000</v>
      </c>
      <c r="C13" s="7" t="str">
        <f t="shared" si="1"/>
        <v>8</v>
      </c>
      <c r="D13" s="8" t="str">
        <f t="shared" si="2"/>
        <v>文字列</v>
      </c>
      <c r="G13" s="8"/>
      <c r="I13" s="8"/>
      <c r="K13" s="8"/>
      <c r="R13" s="18"/>
      <c r="V13" s="8"/>
      <c r="W13" s="18"/>
      <c r="X13" s="8"/>
      <c r="Y13" s="8"/>
      <c r="Z13" s="8"/>
      <c r="AA13" s="8"/>
      <c r="AB13" s="8"/>
      <c r="AC13" s="8"/>
      <c r="AD13" s="8"/>
      <c r="AE13" s="8"/>
    </row>
    <row r="14" spans="1:31" x14ac:dyDescent="0.15">
      <c r="A14" s="7">
        <v>9</v>
      </c>
      <c r="B14" s="7">
        <f t="shared" si="0"/>
        <v>1001</v>
      </c>
      <c r="C14" s="7" t="str">
        <f t="shared" si="1"/>
        <v>9</v>
      </c>
      <c r="D14" s="8" t="str">
        <f t="shared" si="2"/>
        <v>文字列</v>
      </c>
      <c r="G14" s="8"/>
      <c r="I14" s="8"/>
      <c r="J14" s="8"/>
      <c r="K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15">
      <c r="A15" s="7">
        <v>10</v>
      </c>
      <c r="B15" s="7">
        <f t="shared" si="0"/>
        <v>1010</v>
      </c>
      <c r="C15" s="7" t="str">
        <f t="shared" si="1"/>
        <v>A</v>
      </c>
      <c r="D15" s="8" t="str">
        <f t="shared" si="2"/>
        <v>文字列</v>
      </c>
      <c r="I15" s="8"/>
      <c r="J15" s="8"/>
      <c r="K15" s="8"/>
      <c r="L15" s="47" t="s">
        <v>407</v>
      </c>
      <c r="M15" s="47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15">
      <c r="A16" s="7">
        <v>11</v>
      </c>
      <c r="B16" s="7">
        <f t="shared" si="0"/>
        <v>1011</v>
      </c>
      <c r="C16" s="7" t="str">
        <f t="shared" si="1"/>
        <v>B</v>
      </c>
      <c r="D16" s="8" t="str">
        <f t="shared" si="2"/>
        <v>文字列</v>
      </c>
      <c r="I16" s="8"/>
      <c r="J16" s="8"/>
      <c r="K16" s="8"/>
      <c r="L16" s="48"/>
      <c r="M16" s="4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15">
      <c r="A17" s="7">
        <v>12</v>
      </c>
      <c r="B17" s="7">
        <f t="shared" si="0"/>
        <v>1100</v>
      </c>
      <c r="C17" s="7" t="str">
        <f t="shared" si="1"/>
        <v>C</v>
      </c>
      <c r="D17" s="8" t="str">
        <f t="shared" si="2"/>
        <v>文字列</v>
      </c>
      <c r="I17" s="8"/>
      <c r="J17" s="8"/>
      <c r="K17" s="8"/>
      <c r="L17" s="16" t="s">
        <v>320</v>
      </c>
      <c r="M17" s="13">
        <v>0</v>
      </c>
      <c r="N17" s="13">
        <v>1</v>
      </c>
      <c r="O17" s="13">
        <v>2</v>
      </c>
      <c r="P17" s="13">
        <v>3</v>
      </c>
      <c r="Q17" s="13">
        <v>4</v>
      </c>
      <c r="R17" s="13">
        <v>5</v>
      </c>
      <c r="S17" s="13">
        <v>6</v>
      </c>
      <c r="T17" s="13">
        <v>7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15">
      <c r="A18" s="7">
        <v>13</v>
      </c>
      <c r="B18" s="7">
        <f t="shared" si="0"/>
        <v>1101</v>
      </c>
      <c r="C18" s="7" t="str">
        <f t="shared" si="1"/>
        <v>D</v>
      </c>
      <c r="D18" s="8" t="str">
        <f t="shared" si="2"/>
        <v>文字列</v>
      </c>
      <c r="I18" s="8"/>
      <c r="J18" s="8"/>
      <c r="K18" s="8"/>
      <c r="L18" s="17">
        <v>0</v>
      </c>
      <c r="M18" s="49" t="s">
        <v>319</v>
      </c>
      <c r="N18" s="49"/>
      <c r="O18" s="49"/>
      <c r="P18" s="49"/>
      <c r="Q18" s="49"/>
      <c r="R18" s="49"/>
      <c r="S18" s="49"/>
      <c r="T18" s="49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15">
      <c r="A19" s="7">
        <v>14</v>
      </c>
      <c r="B19" s="7">
        <f t="shared" si="0"/>
        <v>1110</v>
      </c>
      <c r="C19" s="7" t="str">
        <f t="shared" si="1"/>
        <v>E</v>
      </c>
      <c r="D19" s="8" t="str">
        <f t="shared" si="2"/>
        <v>文字列</v>
      </c>
      <c r="I19" s="8"/>
      <c r="J19" s="8"/>
      <c r="K19" s="8"/>
      <c r="L19" s="50">
        <v>1</v>
      </c>
      <c r="M19" s="14" t="s">
        <v>324</v>
      </c>
      <c r="N19" s="14" t="s">
        <v>211</v>
      </c>
      <c r="O19" s="14" t="s">
        <v>325</v>
      </c>
      <c r="P19" s="14" t="s">
        <v>211</v>
      </c>
      <c r="Q19" s="14">
        <v>0</v>
      </c>
      <c r="R19" s="14">
        <v>0</v>
      </c>
      <c r="S19" s="13" t="s">
        <v>210</v>
      </c>
      <c r="T19" s="13" t="s">
        <v>210</v>
      </c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15">
      <c r="A20" s="7">
        <v>15</v>
      </c>
      <c r="B20" s="7">
        <f t="shared" si="0"/>
        <v>1111</v>
      </c>
      <c r="C20" s="7" t="str">
        <f t="shared" si="1"/>
        <v>F</v>
      </c>
      <c r="D20" s="8" t="str">
        <f t="shared" si="2"/>
        <v>文字列</v>
      </c>
      <c r="I20" s="8"/>
      <c r="J20" s="8"/>
      <c r="K20" s="8"/>
      <c r="L20" s="51"/>
      <c r="M20" s="14">
        <v>1</v>
      </c>
      <c r="N20" s="14">
        <v>1</v>
      </c>
      <c r="O20" s="14">
        <v>1</v>
      </c>
      <c r="P20" s="14">
        <v>1</v>
      </c>
      <c r="Q20" s="14" t="s">
        <v>10</v>
      </c>
      <c r="R20" s="14"/>
      <c r="S20" s="14">
        <v>0</v>
      </c>
      <c r="T20" s="14">
        <v>0</v>
      </c>
      <c r="U20" s="9" t="s">
        <v>323</v>
      </c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15">
      <c r="A21" s="7">
        <v>16</v>
      </c>
      <c r="B21" s="7">
        <f t="shared" si="0"/>
        <v>10000</v>
      </c>
      <c r="C21" s="7" t="str">
        <f t="shared" si="1"/>
        <v>10</v>
      </c>
      <c r="D21" s="8" t="str">
        <f t="shared" si="2"/>
        <v>文字列</v>
      </c>
      <c r="E21" s="8" t="s">
        <v>44</v>
      </c>
      <c r="F21" s="8"/>
      <c r="G21" s="8"/>
      <c r="H21" s="7"/>
      <c r="I21" s="8"/>
      <c r="J21" s="8"/>
      <c r="K21" s="8"/>
      <c r="L21" s="51"/>
      <c r="M21" s="14">
        <v>0</v>
      </c>
      <c r="N21" s="14">
        <v>1</v>
      </c>
      <c r="O21" s="14">
        <v>0</v>
      </c>
      <c r="P21" s="14">
        <v>1</v>
      </c>
      <c r="Q21" s="14" t="s">
        <v>347</v>
      </c>
      <c r="R21" s="14"/>
      <c r="S21" s="14">
        <v>0</v>
      </c>
      <c r="T21" s="14">
        <v>1</v>
      </c>
      <c r="U21" s="9" t="s">
        <v>221</v>
      </c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15">
      <c r="A22" s="7">
        <v>17</v>
      </c>
      <c r="B22" s="7">
        <f t="shared" si="0"/>
        <v>10001</v>
      </c>
      <c r="C22" s="7" t="str">
        <f t="shared" si="1"/>
        <v>11</v>
      </c>
      <c r="D22" s="8" t="str">
        <f t="shared" si="2"/>
        <v>文字列</v>
      </c>
      <c r="E22" s="11" t="s">
        <v>46</v>
      </c>
      <c r="F22" s="8"/>
      <c r="G22" s="8"/>
      <c r="H22" s="7"/>
      <c r="I22" s="8"/>
      <c r="J22" s="8"/>
      <c r="K22" s="8"/>
      <c r="L22" s="51"/>
      <c r="M22" s="14">
        <v>0</v>
      </c>
      <c r="N22" s="14">
        <v>0</v>
      </c>
      <c r="O22" s="14">
        <v>0</v>
      </c>
      <c r="P22" s="14">
        <v>0</v>
      </c>
      <c r="Q22" s="14" t="s">
        <v>224</v>
      </c>
      <c r="R22" s="14"/>
      <c r="S22" s="14">
        <v>1</v>
      </c>
      <c r="T22" s="14">
        <v>0</v>
      </c>
      <c r="U22" s="9" t="s">
        <v>222</v>
      </c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15">
      <c r="A23" s="7">
        <v>18</v>
      </c>
      <c r="B23" s="7">
        <f t="shared" si="0"/>
        <v>10010</v>
      </c>
      <c r="C23" s="7" t="str">
        <f t="shared" si="1"/>
        <v>12</v>
      </c>
      <c r="D23" s="8" t="str">
        <f t="shared" si="2"/>
        <v>文字列</v>
      </c>
      <c r="E23" s="8" t="s">
        <v>48</v>
      </c>
      <c r="F23" s="8"/>
      <c r="G23" s="8"/>
      <c r="H23" s="7"/>
      <c r="I23" s="8"/>
      <c r="J23" s="8"/>
      <c r="K23" s="8"/>
      <c r="L23" s="52"/>
      <c r="M23" s="14">
        <v>1</v>
      </c>
      <c r="N23" s="14">
        <v>0</v>
      </c>
      <c r="O23" s="14">
        <v>1</v>
      </c>
      <c r="P23" s="14">
        <v>0</v>
      </c>
      <c r="Q23" s="14" t="s">
        <v>225</v>
      </c>
      <c r="R23" s="14"/>
      <c r="S23" s="14">
        <v>1</v>
      </c>
      <c r="T23" s="14">
        <v>1</v>
      </c>
      <c r="U23" s="9" t="s">
        <v>426</v>
      </c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15">
      <c r="A24" s="7">
        <v>19</v>
      </c>
      <c r="B24" s="7">
        <f t="shared" si="0"/>
        <v>10011</v>
      </c>
      <c r="C24" s="7" t="str">
        <f t="shared" si="1"/>
        <v>13</v>
      </c>
      <c r="D24" s="8" t="str">
        <f t="shared" si="2"/>
        <v>文字列</v>
      </c>
      <c r="E24" s="11" t="s">
        <v>49</v>
      </c>
      <c r="F24" s="8"/>
      <c r="G24" s="8"/>
      <c r="H24" s="7"/>
      <c r="I24" s="8"/>
      <c r="J24" s="8"/>
      <c r="K24" s="8"/>
      <c r="L24" s="53">
        <v>2</v>
      </c>
      <c r="M24" s="14" t="s">
        <v>214</v>
      </c>
      <c r="N24" s="14" t="s">
        <v>215</v>
      </c>
      <c r="O24" s="14" t="s">
        <v>216</v>
      </c>
      <c r="P24" s="14" t="s">
        <v>217</v>
      </c>
      <c r="Q24" s="14" t="s">
        <v>218</v>
      </c>
      <c r="R24" s="14" t="s">
        <v>219</v>
      </c>
      <c r="S24" s="14" t="s">
        <v>220</v>
      </c>
      <c r="T24" s="14" t="s">
        <v>220</v>
      </c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15">
      <c r="A25" s="7">
        <v>20</v>
      </c>
      <c r="B25" s="7">
        <f t="shared" si="0"/>
        <v>10100</v>
      </c>
      <c r="C25" s="7" t="str">
        <f t="shared" si="1"/>
        <v>14</v>
      </c>
      <c r="D25" s="8" t="str">
        <f t="shared" si="2"/>
        <v>文字列</v>
      </c>
      <c r="E25" s="8" t="s">
        <v>149</v>
      </c>
      <c r="F25" s="8"/>
      <c r="G25" s="8"/>
      <c r="H25" s="7"/>
      <c r="I25" s="8"/>
      <c r="J25" s="8"/>
      <c r="K25" s="8"/>
      <c r="L25" s="53"/>
      <c r="M25" s="14" t="s">
        <v>327</v>
      </c>
      <c r="N25" s="14" t="s">
        <v>331</v>
      </c>
      <c r="O25" s="14" t="s">
        <v>329</v>
      </c>
      <c r="P25" s="14" t="s">
        <v>329</v>
      </c>
      <c r="Q25" s="14" t="s">
        <v>332</v>
      </c>
      <c r="R25" s="14" t="s">
        <v>332</v>
      </c>
      <c r="S25" s="14" t="s">
        <v>333</v>
      </c>
      <c r="T25" s="14" t="s">
        <v>349</v>
      </c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15">
      <c r="A26" s="7">
        <v>21</v>
      </c>
      <c r="B26" s="7">
        <f t="shared" si="0"/>
        <v>10101</v>
      </c>
      <c r="C26" s="7" t="str">
        <f t="shared" si="1"/>
        <v>15</v>
      </c>
      <c r="D26" s="8" t="str">
        <f t="shared" si="2"/>
        <v>文字列</v>
      </c>
      <c r="E26" s="8" t="s">
        <v>150</v>
      </c>
      <c r="F26" s="8"/>
      <c r="G26" s="8"/>
      <c r="H26" s="7"/>
      <c r="I26" s="8"/>
      <c r="J26" s="8"/>
      <c r="K26" s="8"/>
      <c r="L26" s="53"/>
      <c r="M26" s="14" t="s">
        <v>326</v>
      </c>
      <c r="N26" s="14" t="s">
        <v>328</v>
      </c>
      <c r="O26" s="14" t="s">
        <v>330</v>
      </c>
      <c r="P26" s="14" t="s">
        <v>330</v>
      </c>
      <c r="Q26" s="14" t="s">
        <v>330</v>
      </c>
      <c r="R26" s="14" t="s">
        <v>330</v>
      </c>
      <c r="S26" s="14" t="s">
        <v>334</v>
      </c>
      <c r="T26" s="14" t="s">
        <v>348</v>
      </c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15">
      <c r="A27" s="7">
        <v>22</v>
      </c>
      <c r="B27" s="7">
        <f t="shared" si="0"/>
        <v>10110</v>
      </c>
      <c r="C27" s="7" t="str">
        <f t="shared" si="1"/>
        <v>16</v>
      </c>
      <c r="D27" s="8" t="str">
        <f t="shared" si="2"/>
        <v>文字列</v>
      </c>
      <c r="E27" s="8" t="s">
        <v>190</v>
      </c>
      <c r="F27" s="8"/>
      <c r="G27" s="8"/>
      <c r="H27" s="7"/>
      <c r="I27" s="8"/>
      <c r="J27" s="8"/>
      <c r="K27" s="8"/>
      <c r="L27" s="15">
        <v>3</v>
      </c>
      <c r="M27" s="53" t="s">
        <v>321</v>
      </c>
      <c r="N27" s="53"/>
      <c r="O27" s="53"/>
      <c r="P27" s="53"/>
      <c r="Q27" s="53"/>
      <c r="R27" s="53"/>
      <c r="S27" s="53"/>
      <c r="T27" s="53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15">
      <c r="A28" s="7">
        <v>23</v>
      </c>
      <c r="B28" s="7">
        <f t="shared" si="0"/>
        <v>10111</v>
      </c>
      <c r="C28" s="7" t="str">
        <f t="shared" si="1"/>
        <v>17</v>
      </c>
      <c r="D28" s="8" t="str">
        <f t="shared" si="2"/>
        <v>文字列</v>
      </c>
      <c r="E28" s="8" t="s">
        <v>191</v>
      </c>
      <c r="F28" s="8"/>
      <c r="G28" s="8"/>
      <c r="H28" s="7"/>
      <c r="I28" s="8"/>
      <c r="J28" s="8"/>
      <c r="K28" s="8"/>
      <c r="L28" s="15">
        <v>4</v>
      </c>
      <c r="M28" s="53"/>
      <c r="N28" s="53"/>
      <c r="O28" s="53"/>
      <c r="P28" s="53"/>
      <c r="Q28" s="53"/>
      <c r="R28" s="53"/>
      <c r="S28" s="53"/>
      <c r="T28" s="53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15">
      <c r="A29" s="7">
        <v>24</v>
      </c>
      <c r="B29" s="7">
        <f t="shared" si="0"/>
        <v>11000</v>
      </c>
      <c r="C29" s="7" t="str">
        <f t="shared" si="1"/>
        <v>18</v>
      </c>
      <c r="D29" s="8" t="str">
        <f t="shared" si="2"/>
        <v>文字列</v>
      </c>
      <c r="E29" s="9" t="s">
        <v>192</v>
      </c>
      <c r="F29" s="8" t="s">
        <v>420</v>
      </c>
      <c r="G29" s="8"/>
      <c r="H29" s="7" t="s">
        <v>26</v>
      </c>
      <c r="I29" s="9" t="s">
        <v>398</v>
      </c>
      <c r="J29" s="8"/>
      <c r="K29" s="8"/>
      <c r="L29" s="15">
        <v>5</v>
      </c>
      <c r="M29" s="46" t="s">
        <v>322</v>
      </c>
      <c r="N29" s="46"/>
      <c r="O29" s="46"/>
      <c r="P29" s="46"/>
      <c r="Q29" s="46"/>
      <c r="R29" s="46"/>
      <c r="S29" s="46"/>
      <c r="T29" s="46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ht="11.9" customHeight="1" x14ac:dyDescent="0.15">
      <c r="A30" s="7">
        <v>25</v>
      </c>
      <c r="B30" s="7">
        <f t="shared" si="0"/>
        <v>11001</v>
      </c>
      <c r="C30" s="7" t="str">
        <f t="shared" si="1"/>
        <v>19</v>
      </c>
      <c r="D30" s="8" t="str">
        <f t="shared" si="2"/>
        <v>文字列</v>
      </c>
      <c r="E30" s="9" t="s">
        <v>194</v>
      </c>
      <c r="F30" s="8" t="s">
        <v>419</v>
      </c>
      <c r="G30" s="8"/>
      <c r="H30" s="7">
        <v>10</v>
      </c>
      <c r="I30" s="9" t="s">
        <v>403</v>
      </c>
      <c r="J30" s="8"/>
      <c r="K30" s="8"/>
      <c r="L30" s="15">
        <v>6</v>
      </c>
      <c r="M30" s="46"/>
      <c r="N30" s="46"/>
      <c r="O30" s="46"/>
      <c r="P30" s="46"/>
      <c r="Q30" s="46"/>
      <c r="R30" s="46"/>
      <c r="S30" s="46"/>
      <c r="T30" s="46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15">
      <c r="A31" s="7">
        <v>26</v>
      </c>
      <c r="B31" s="7">
        <f t="shared" si="0"/>
        <v>11010</v>
      </c>
      <c r="C31" s="7" t="str">
        <f t="shared" si="1"/>
        <v>1A</v>
      </c>
      <c r="D31" s="8" t="str">
        <f t="shared" si="2"/>
        <v>文字列</v>
      </c>
      <c r="E31" s="9" t="s">
        <v>200</v>
      </c>
      <c r="F31" s="8"/>
      <c r="G31" s="8"/>
      <c r="H31" s="7"/>
      <c r="J31" s="8"/>
      <c r="K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ht="11.9" customHeight="1" x14ac:dyDescent="0.15">
      <c r="A32" s="7">
        <v>27</v>
      </c>
      <c r="B32" s="7">
        <f t="shared" si="0"/>
        <v>11011</v>
      </c>
      <c r="C32" s="7" t="str">
        <f t="shared" si="1"/>
        <v>1B</v>
      </c>
      <c r="D32" s="8" t="str">
        <f t="shared" si="2"/>
        <v>文字列</v>
      </c>
      <c r="E32" s="9" t="s">
        <v>201</v>
      </c>
      <c r="F32" s="8" t="s">
        <v>421</v>
      </c>
      <c r="G32" s="8"/>
      <c r="H32" s="7">
        <v>10</v>
      </c>
      <c r="I32" s="9" t="s">
        <v>403</v>
      </c>
      <c r="J32" s="8"/>
      <c r="K32" s="8"/>
      <c r="L32" s="8"/>
      <c r="M32" s="8"/>
      <c r="N32" s="8"/>
      <c r="O32" s="8"/>
      <c r="P32" s="8"/>
      <c r="Q32" s="8"/>
      <c r="R32" s="8"/>
      <c r="S32" s="8"/>
      <c r="U32" s="8"/>
      <c r="V32" s="8"/>
    </row>
    <row r="33" spans="1:22" x14ac:dyDescent="0.15">
      <c r="A33" s="7">
        <v>28</v>
      </c>
      <c r="B33" s="7">
        <f t="shared" si="0"/>
        <v>11100</v>
      </c>
      <c r="C33" s="7" t="str">
        <f t="shared" si="1"/>
        <v>1C</v>
      </c>
      <c r="D33" s="8" t="str">
        <f t="shared" si="2"/>
        <v>文字列</v>
      </c>
      <c r="J33" s="8"/>
      <c r="K33" s="8"/>
      <c r="L33" s="8"/>
      <c r="M33" s="8"/>
      <c r="N33" s="8"/>
      <c r="O33" s="8"/>
      <c r="P33" s="8"/>
      <c r="Q33" s="8"/>
      <c r="R33" s="8"/>
      <c r="S33" s="8"/>
      <c r="U33" s="8"/>
      <c r="V33" s="8"/>
    </row>
    <row r="34" spans="1:22" x14ac:dyDescent="0.15">
      <c r="A34" s="7">
        <v>29</v>
      </c>
      <c r="B34" s="7">
        <f t="shared" si="0"/>
        <v>11101</v>
      </c>
      <c r="C34" s="7" t="str">
        <f t="shared" si="1"/>
        <v>1D</v>
      </c>
      <c r="D34" s="8" t="str">
        <f t="shared" si="2"/>
        <v>文字列</v>
      </c>
      <c r="J34" s="8"/>
      <c r="K34" s="8"/>
      <c r="L34" s="8"/>
      <c r="M34" s="8"/>
      <c r="N34" s="8"/>
      <c r="O34" s="8"/>
      <c r="P34" s="8"/>
      <c r="Q34" s="8"/>
      <c r="R34" s="8"/>
      <c r="S34" s="8"/>
      <c r="U34" s="8"/>
      <c r="V34" s="8"/>
    </row>
    <row r="35" spans="1:22" x14ac:dyDescent="0.15">
      <c r="A35" s="7">
        <v>30</v>
      </c>
      <c r="B35" s="7">
        <f t="shared" si="0"/>
        <v>11110</v>
      </c>
      <c r="C35" s="7" t="str">
        <f t="shared" si="1"/>
        <v>1E</v>
      </c>
      <c r="D35" s="8" t="str">
        <f t="shared" si="2"/>
        <v>文字列</v>
      </c>
      <c r="E35" s="8"/>
      <c r="F35" s="8"/>
      <c r="G35" s="8"/>
      <c r="H35" s="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U35" s="8"/>
      <c r="V35" s="8"/>
    </row>
    <row r="36" spans="1:22" x14ac:dyDescent="0.15">
      <c r="A36" s="7">
        <v>31</v>
      </c>
      <c r="B36" s="7">
        <f t="shared" si="0"/>
        <v>11111</v>
      </c>
      <c r="C36" s="7" t="str">
        <f t="shared" si="1"/>
        <v>1F</v>
      </c>
      <c r="D36" s="8" t="str">
        <f t="shared" si="2"/>
        <v>文字列</v>
      </c>
      <c r="E36" s="8"/>
      <c r="F36" s="8"/>
      <c r="G36" s="8"/>
      <c r="H36" s="7"/>
      <c r="J36" s="8"/>
      <c r="L36" s="8"/>
      <c r="M36" s="8"/>
      <c r="N36" s="8"/>
      <c r="O36" s="8"/>
      <c r="P36" s="8"/>
      <c r="Q36" s="8"/>
      <c r="R36" s="8"/>
      <c r="S36" s="8"/>
      <c r="U36" s="8"/>
      <c r="V36" s="8"/>
    </row>
    <row r="37" spans="1:22" x14ac:dyDescent="0.15">
      <c r="A37" s="7">
        <v>32</v>
      </c>
      <c r="B37" s="7">
        <f t="shared" si="0"/>
        <v>100000</v>
      </c>
      <c r="C37" s="7" t="str">
        <f t="shared" si="1"/>
        <v>20</v>
      </c>
      <c r="D37" s="8" t="str">
        <f t="shared" si="2"/>
        <v>文字列</v>
      </c>
      <c r="E37" s="8" t="s">
        <v>55</v>
      </c>
      <c r="F37" s="8" t="s">
        <v>56</v>
      </c>
      <c r="G37" s="8"/>
      <c r="H37" s="7" t="s">
        <v>26</v>
      </c>
      <c r="I37" s="8" t="s">
        <v>398</v>
      </c>
      <c r="J37" s="8"/>
      <c r="L37" s="8"/>
      <c r="M37" s="8"/>
      <c r="N37" s="8"/>
      <c r="O37" s="8"/>
      <c r="P37" s="8"/>
      <c r="Q37" s="8"/>
      <c r="R37" s="8"/>
      <c r="S37" s="8"/>
      <c r="U37" s="8"/>
      <c r="V37" s="8"/>
    </row>
    <row r="38" spans="1:22" x14ac:dyDescent="0.15">
      <c r="A38" s="7">
        <v>33</v>
      </c>
      <c r="B38" s="7">
        <f t="shared" si="0"/>
        <v>100001</v>
      </c>
      <c r="C38" s="7" t="str">
        <f t="shared" si="1"/>
        <v>21</v>
      </c>
      <c r="D38" s="8" t="str">
        <f t="shared" si="2"/>
        <v>文字列</v>
      </c>
      <c r="E38" s="8" t="s">
        <v>57</v>
      </c>
      <c r="F38" s="8" t="s">
        <v>423</v>
      </c>
      <c r="G38" s="8"/>
      <c r="H38" s="7">
        <v>1</v>
      </c>
      <c r="I38" s="8" t="s">
        <v>425</v>
      </c>
      <c r="J38" s="8"/>
      <c r="K38" s="8"/>
      <c r="L38" s="8"/>
      <c r="M38" s="8"/>
      <c r="N38" s="8"/>
      <c r="O38" s="8"/>
      <c r="P38" s="8"/>
      <c r="Q38" s="8"/>
      <c r="R38" s="8"/>
      <c r="S38" s="8"/>
      <c r="U38" s="8"/>
      <c r="V38" s="8"/>
    </row>
    <row r="39" spans="1:22" x14ac:dyDescent="0.15">
      <c r="A39" s="7">
        <v>34</v>
      </c>
      <c r="B39" s="7">
        <f t="shared" si="0"/>
        <v>100010</v>
      </c>
      <c r="C39" s="7" t="str">
        <f t="shared" si="1"/>
        <v>22</v>
      </c>
      <c r="D39" s="8" t="str">
        <f t="shared" si="2"/>
        <v>文字列</v>
      </c>
      <c r="E39" s="8" t="s">
        <v>59</v>
      </c>
      <c r="F39" s="8" t="s">
        <v>56</v>
      </c>
      <c r="G39" s="8"/>
      <c r="H39" s="7" t="s">
        <v>26</v>
      </c>
      <c r="I39" s="8" t="s">
        <v>398</v>
      </c>
      <c r="J39" s="8"/>
      <c r="K39" s="8"/>
      <c r="L39" s="8"/>
      <c r="M39" s="8"/>
      <c r="N39" s="8"/>
      <c r="O39" s="8"/>
      <c r="P39" s="8"/>
      <c r="Q39" s="8"/>
      <c r="R39" s="8"/>
      <c r="S39" s="8"/>
      <c r="U39" s="8"/>
      <c r="V39" s="8"/>
    </row>
    <row r="40" spans="1:22" x14ac:dyDescent="0.15">
      <c r="A40" s="7">
        <v>35</v>
      </c>
      <c r="B40" s="7">
        <f t="shared" si="0"/>
        <v>100011</v>
      </c>
      <c r="C40" s="7" t="str">
        <f t="shared" si="1"/>
        <v>23</v>
      </c>
      <c r="D40" s="8" t="str">
        <f t="shared" si="2"/>
        <v>文字列</v>
      </c>
      <c r="E40" s="8" t="s">
        <v>60</v>
      </c>
      <c r="F40" s="8" t="s">
        <v>423</v>
      </c>
      <c r="G40" s="8"/>
      <c r="H40" s="7">
        <v>1</v>
      </c>
      <c r="I40" s="8" t="s">
        <v>424</v>
      </c>
      <c r="K40" s="8"/>
      <c r="L40" s="8"/>
      <c r="M40" s="8"/>
      <c r="N40" s="8"/>
      <c r="O40" s="8"/>
      <c r="P40" s="8"/>
      <c r="Q40" s="8"/>
      <c r="R40" s="8"/>
      <c r="S40" s="8"/>
      <c r="U40" s="8"/>
      <c r="V40" s="8"/>
    </row>
    <row r="41" spans="1:22" x14ac:dyDescent="0.15">
      <c r="A41" s="7">
        <v>36</v>
      </c>
      <c r="B41" s="7">
        <f t="shared" si="0"/>
        <v>100100</v>
      </c>
      <c r="C41" s="7" t="str">
        <f t="shared" si="1"/>
        <v>24</v>
      </c>
      <c r="D41" s="8" t="str">
        <f t="shared" si="2"/>
        <v>文字列</v>
      </c>
      <c r="J41" s="8"/>
      <c r="K41" s="8"/>
      <c r="L41" s="8"/>
      <c r="M41" s="8"/>
      <c r="N41" s="8"/>
      <c r="O41" s="8"/>
      <c r="P41" s="8"/>
      <c r="Q41" s="8"/>
      <c r="R41" s="8"/>
      <c r="S41" s="8"/>
      <c r="U41" s="8"/>
      <c r="V41" s="8"/>
    </row>
    <row r="42" spans="1:22" x14ac:dyDescent="0.15">
      <c r="A42" s="7">
        <v>37</v>
      </c>
      <c r="B42" s="7">
        <f t="shared" si="0"/>
        <v>100101</v>
      </c>
      <c r="C42" s="7" t="str">
        <f t="shared" si="1"/>
        <v>25</v>
      </c>
      <c r="D42" s="8" t="str">
        <f t="shared" si="2"/>
        <v>文字列</v>
      </c>
      <c r="J42" s="8"/>
      <c r="K42" s="8"/>
      <c r="L42" s="8"/>
      <c r="M42" s="8"/>
      <c r="N42" s="8"/>
      <c r="O42" s="8"/>
      <c r="P42" s="8"/>
      <c r="Q42" s="8"/>
      <c r="R42" s="8"/>
      <c r="S42" s="8"/>
      <c r="U42" s="8"/>
      <c r="V42" s="8"/>
    </row>
    <row r="43" spans="1:22" x14ac:dyDescent="0.15">
      <c r="A43" s="7">
        <v>38</v>
      </c>
      <c r="B43" s="7">
        <f t="shared" si="0"/>
        <v>100110</v>
      </c>
      <c r="C43" s="7" t="str">
        <f t="shared" si="1"/>
        <v>26</v>
      </c>
      <c r="D43" s="8" t="str">
        <f t="shared" si="2"/>
        <v>文字列</v>
      </c>
      <c r="K43" s="8"/>
      <c r="L43" s="8"/>
      <c r="M43" s="8"/>
      <c r="N43" s="8"/>
      <c r="O43" s="8"/>
      <c r="P43" s="8"/>
      <c r="Q43" s="8"/>
      <c r="R43" s="8"/>
      <c r="S43" s="8"/>
      <c r="U43" s="8"/>
      <c r="V43" s="8"/>
    </row>
    <row r="44" spans="1:22" x14ac:dyDescent="0.15">
      <c r="A44" s="7">
        <v>39</v>
      </c>
      <c r="B44" s="7">
        <f t="shared" si="0"/>
        <v>100111</v>
      </c>
      <c r="C44" s="7" t="str">
        <f t="shared" si="1"/>
        <v>27</v>
      </c>
      <c r="D44" s="8" t="str">
        <f t="shared" si="2"/>
        <v>文字列</v>
      </c>
      <c r="J44" s="8"/>
      <c r="K44" s="8"/>
      <c r="L44" s="8"/>
      <c r="M44" s="8"/>
      <c r="N44" s="8"/>
      <c r="O44" s="8"/>
      <c r="P44" s="8"/>
      <c r="Q44" s="8"/>
      <c r="R44" s="8"/>
      <c r="S44" s="8"/>
      <c r="U44" s="8"/>
      <c r="V44" s="8"/>
    </row>
    <row r="45" spans="1:22" x14ac:dyDescent="0.15">
      <c r="A45" s="7">
        <v>40</v>
      </c>
      <c r="B45" s="7">
        <f t="shared" si="0"/>
        <v>101000</v>
      </c>
      <c r="C45" s="7" t="str">
        <f t="shared" si="1"/>
        <v>28</v>
      </c>
      <c r="D45" s="8" t="str">
        <f t="shared" si="2"/>
        <v>文字列</v>
      </c>
      <c r="J45" s="8"/>
      <c r="K45" s="8"/>
      <c r="L45" s="8"/>
      <c r="M45" s="8"/>
      <c r="N45" s="8"/>
      <c r="O45" s="8"/>
      <c r="P45" s="8"/>
      <c r="Q45" s="8"/>
      <c r="R45" s="8"/>
      <c r="S45" s="8"/>
      <c r="U45" s="8"/>
      <c r="V45" s="8"/>
    </row>
    <row r="46" spans="1:22" x14ac:dyDescent="0.15">
      <c r="A46" s="7">
        <v>41</v>
      </c>
      <c r="B46" s="7">
        <f t="shared" si="0"/>
        <v>101001</v>
      </c>
      <c r="C46" s="7" t="str">
        <f t="shared" si="1"/>
        <v>29</v>
      </c>
      <c r="D46" s="8" t="str">
        <f t="shared" si="2"/>
        <v>文字列</v>
      </c>
      <c r="J46" s="8"/>
      <c r="K46" s="8"/>
      <c r="L46" s="8"/>
      <c r="M46" s="8"/>
      <c r="N46" s="8"/>
      <c r="O46" s="8"/>
      <c r="P46" s="8"/>
      <c r="Q46" s="8"/>
      <c r="R46" s="8"/>
      <c r="S46" s="8"/>
      <c r="U46" s="8"/>
      <c r="V46" s="8"/>
    </row>
    <row r="47" spans="1:22" x14ac:dyDescent="0.15">
      <c r="A47" s="7">
        <v>42</v>
      </c>
      <c r="B47" s="7">
        <f t="shared" si="0"/>
        <v>101010</v>
      </c>
      <c r="C47" s="7" t="str">
        <f t="shared" si="1"/>
        <v>2A</v>
      </c>
      <c r="D47" s="8" t="str">
        <f t="shared" si="2"/>
        <v>文字列</v>
      </c>
      <c r="J47" s="8"/>
      <c r="K47" s="8"/>
      <c r="L47" s="8"/>
      <c r="M47" s="8"/>
      <c r="N47" s="8"/>
      <c r="O47" s="8"/>
      <c r="P47" s="8"/>
      <c r="Q47" s="8"/>
      <c r="R47" s="8"/>
      <c r="S47" s="8"/>
      <c r="U47" s="8"/>
      <c r="V47" s="8"/>
    </row>
    <row r="48" spans="1:22" x14ac:dyDescent="0.15">
      <c r="A48" s="7">
        <v>43</v>
      </c>
      <c r="B48" s="7">
        <f t="shared" si="0"/>
        <v>101011</v>
      </c>
      <c r="C48" s="7" t="str">
        <f t="shared" si="1"/>
        <v>2B</v>
      </c>
      <c r="D48" s="8" t="str">
        <f t="shared" si="2"/>
        <v>文字列</v>
      </c>
      <c r="J48" s="8"/>
      <c r="K48" s="8"/>
      <c r="L48" s="8"/>
      <c r="M48" s="8"/>
      <c r="N48" s="8"/>
      <c r="O48" s="8"/>
      <c r="P48" s="8"/>
      <c r="Q48" s="8"/>
      <c r="R48" s="8"/>
      <c r="S48" s="8"/>
      <c r="U48" s="8"/>
      <c r="V48" s="8"/>
    </row>
    <row r="49" spans="1:22" x14ac:dyDescent="0.15">
      <c r="A49" s="7">
        <v>44</v>
      </c>
      <c r="B49" s="7">
        <f t="shared" si="0"/>
        <v>101100</v>
      </c>
      <c r="C49" s="7" t="str">
        <f t="shared" si="1"/>
        <v>2C</v>
      </c>
      <c r="D49" s="8" t="str">
        <f t="shared" si="2"/>
        <v>文字列</v>
      </c>
      <c r="K49" s="8"/>
      <c r="L49" s="8"/>
      <c r="M49" s="8"/>
      <c r="N49" s="8"/>
      <c r="O49" s="8"/>
      <c r="P49" s="8"/>
      <c r="Q49" s="8"/>
      <c r="R49" s="8"/>
      <c r="S49" s="8"/>
      <c r="U49" s="8"/>
      <c r="V49" s="8"/>
    </row>
    <row r="50" spans="1:22" x14ac:dyDescent="0.15">
      <c r="A50" s="7">
        <v>45</v>
      </c>
      <c r="B50" s="7">
        <f t="shared" si="0"/>
        <v>101101</v>
      </c>
      <c r="C50" s="7" t="str">
        <f t="shared" si="1"/>
        <v>2D</v>
      </c>
      <c r="D50" s="8" t="str">
        <f t="shared" si="2"/>
        <v>文字列</v>
      </c>
      <c r="J50" s="8"/>
      <c r="K50" s="8"/>
      <c r="L50" s="8"/>
      <c r="M50" s="8"/>
      <c r="N50" s="8"/>
      <c r="O50" s="8"/>
      <c r="P50" s="8"/>
      <c r="Q50" s="8"/>
      <c r="R50" s="8"/>
      <c r="S50" s="8"/>
      <c r="U50" s="8"/>
      <c r="V50" s="8"/>
    </row>
    <row r="51" spans="1:22" x14ac:dyDescent="0.15">
      <c r="A51" s="7">
        <v>46</v>
      </c>
      <c r="B51" s="7">
        <f t="shared" si="0"/>
        <v>101110</v>
      </c>
      <c r="C51" s="7" t="str">
        <f t="shared" si="1"/>
        <v>2E</v>
      </c>
      <c r="D51" s="8" t="str">
        <f t="shared" si="2"/>
        <v>文字列</v>
      </c>
      <c r="J51" s="8"/>
      <c r="K51" s="8"/>
      <c r="L51" s="8"/>
      <c r="M51" s="8"/>
      <c r="N51" s="8"/>
      <c r="O51" s="8"/>
      <c r="P51" s="8"/>
      <c r="Q51" s="8"/>
      <c r="R51" s="8"/>
      <c r="S51" s="8"/>
      <c r="U51" s="8"/>
      <c r="V51" s="8"/>
    </row>
    <row r="52" spans="1:22" x14ac:dyDescent="0.15">
      <c r="A52" s="7">
        <v>47</v>
      </c>
      <c r="B52" s="7">
        <f t="shared" si="0"/>
        <v>101111</v>
      </c>
      <c r="C52" s="7" t="str">
        <f t="shared" si="1"/>
        <v>2F</v>
      </c>
      <c r="D52" s="8" t="str">
        <f t="shared" si="2"/>
        <v>文字列</v>
      </c>
      <c r="J52" s="8"/>
      <c r="K52" s="8"/>
      <c r="L52" s="8"/>
      <c r="M52" s="8"/>
      <c r="N52" s="8"/>
      <c r="O52" s="8"/>
      <c r="P52" s="8"/>
      <c r="Q52" s="8"/>
      <c r="R52" s="8"/>
      <c r="S52" s="8"/>
      <c r="U52" s="8"/>
      <c r="V52" s="8"/>
    </row>
    <row r="53" spans="1:22" x14ac:dyDescent="0.15">
      <c r="A53" s="7">
        <v>48</v>
      </c>
      <c r="B53" s="7">
        <f>DEC2BIN(A53/512)*1000000000+DEC2BIN(MOD(A53,512))</f>
        <v>110000</v>
      </c>
      <c r="C53" s="7" t="str">
        <f>DEC2HEX(A53)</f>
        <v>30</v>
      </c>
      <c r="D53" s="8" t="str">
        <f t="shared" si="2"/>
        <v>文字列</v>
      </c>
      <c r="J53" s="8"/>
      <c r="K53" s="8"/>
      <c r="L53" s="8"/>
      <c r="M53" s="8"/>
      <c r="N53" s="8"/>
      <c r="O53" s="8"/>
      <c r="P53" s="8"/>
      <c r="Q53" s="8"/>
      <c r="R53" s="8"/>
      <c r="S53" s="8"/>
      <c r="U53" s="8"/>
      <c r="V53" s="8"/>
    </row>
    <row r="54" spans="1:22" x14ac:dyDescent="0.15">
      <c r="A54" s="7">
        <v>49</v>
      </c>
      <c r="B54" s="7">
        <f>DEC2BIN(A54/512)*1000000000+DEC2BIN(MOD(A54,512))</f>
        <v>110001</v>
      </c>
      <c r="C54" s="7" t="str">
        <f>DEC2HEX(A54)</f>
        <v>31</v>
      </c>
      <c r="D54" s="8" t="str">
        <f t="shared" si="2"/>
        <v>文字列</v>
      </c>
      <c r="K54" s="8"/>
      <c r="L54" s="8"/>
      <c r="M54" s="8"/>
      <c r="N54" s="8"/>
      <c r="O54" s="8"/>
      <c r="P54" s="8"/>
      <c r="Q54" s="8"/>
      <c r="R54" s="8"/>
      <c r="S54" s="8"/>
      <c r="U54" s="8"/>
      <c r="V54" s="8"/>
    </row>
    <row r="55" spans="1:22" x14ac:dyDescent="0.15">
      <c r="A55" s="7">
        <v>50</v>
      </c>
      <c r="B55" s="7">
        <f t="shared" si="0"/>
        <v>110010</v>
      </c>
      <c r="C55" s="7" t="str">
        <f t="shared" si="1"/>
        <v>32</v>
      </c>
      <c r="D55" s="8" t="str">
        <f t="shared" si="2"/>
        <v>文字列</v>
      </c>
      <c r="J55" s="8"/>
      <c r="K55" s="8"/>
      <c r="L55" s="8"/>
      <c r="M55" s="8"/>
      <c r="N55" s="8"/>
      <c r="O55" s="8"/>
      <c r="P55" s="8"/>
      <c r="Q55" s="8"/>
      <c r="R55" s="8"/>
      <c r="S55" s="8"/>
      <c r="U55" s="8"/>
      <c r="V55" s="8"/>
    </row>
    <row r="56" spans="1:22" x14ac:dyDescent="0.15">
      <c r="A56" s="7">
        <v>51</v>
      </c>
      <c r="B56" s="7">
        <f t="shared" si="0"/>
        <v>110011</v>
      </c>
      <c r="C56" s="7" t="str">
        <f t="shared" si="1"/>
        <v>33</v>
      </c>
      <c r="D56" s="8" t="str">
        <f t="shared" si="2"/>
        <v>文字列</v>
      </c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</row>
    <row r="57" spans="1:22" x14ac:dyDescent="0.15">
      <c r="A57" s="7">
        <v>52</v>
      </c>
      <c r="B57" s="7">
        <f t="shared" si="0"/>
        <v>110100</v>
      </c>
      <c r="C57" s="7" t="str">
        <f t="shared" si="1"/>
        <v>34</v>
      </c>
      <c r="D57" s="8" t="str">
        <f t="shared" si="2"/>
        <v>文字列</v>
      </c>
      <c r="K57" s="8"/>
      <c r="L57" s="8"/>
      <c r="M57" s="8"/>
      <c r="N57" s="8"/>
      <c r="O57" s="8"/>
      <c r="P57" s="8"/>
      <c r="Q57" s="8"/>
      <c r="R57" s="8"/>
      <c r="S57" s="8"/>
      <c r="U57" s="8"/>
      <c r="V57" s="8"/>
    </row>
    <row r="58" spans="1:22" x14ac:dyDescent="0.15">
      <c r="A58" s="7">
        <v>53</v>
      </c>
      <c r="B58" s="7">
        <f t="shared" si="0"/>
        <v>110101</v>
      </c>
      <c r="C58" s="7" t="str">
        <f t="shared" si="1"/>
        <v>35</v>
      </c>
      <c r="D58" s="8" t="str">
        <f t="shared" si="2"/>
        <v>文字列</v>
      </c>
      <c r="K58" s="8"/>
      <c r="L58" s="8"/>
      <c r="M58" s="8"/>
      <c r="N58" s="8"/>
      <c r="O58" s="8"/>
      <c r="P58" s="8"/>
      <c r="Q58" s="8"/>
      <c r="R58" s="8"/>
      <c r="S58" s="8"/>
      <c r="U58" s="8"/>
      <c r="V58" s="8"/>
    </row>
    <row r="59" spans="1:22" x14ac:dyDescent="0.15">
      <c r="A59" s="7">
        <v>54</v>
      </c>
      <c r="B59" s="7">
        <f t="shared" si="0"/>
        <v>110110</v>
      </c>
      <c r="C59" s="7" t="str">
        <f t="shared" si="1"/>
        <v>36</v>
      </c>
      <c r="D59" s="8" t="str">
        <f t="shared" si="2"/>
        <v>文字列</v>
      </c>
      <c r="K59" s="8"/>
      <c r="L59" s="8"/>
      <c r="M59" s="8"/>
      <c r="N59" s="8"/>
      <c r="O59" s="8"/>
      <c r="P59" s="8"/>
      <c r="Q59" s="8"/>
      <c r="R59" s="8"/>
      <c r="S59" s="8"/>
      <c r="U59" s="8"/>
      <c r="V59" s="8"/>
    </row>
    <row r="60" spans="1:22" x14ac:dyDescent="0.15">
      <c r="A60" s="7">
        <v>55</v>
      </c>
      <c r="B60" s="7">
        <f t="shared" si="0"/>
        <v>110111</v>
      </c>
      <c r="C60" s="7" t="str">
        <f t="shared" si="1"/>
        <v>37</v>
      </c>
      <c r="D60" s="8" t="str">
        <f t="shared" si="2"/>
        <v>文字列</v>
      </c>
      <c r="K60" s="8"/>
      <c r="L60" s="8"/>
      <c r="M60" s="8"/>
      <c r="N60" s="8"/>
      <c r="O60" s="8"/>
      <c r="P60" s="8"/>
      <c r="Q60" s="8"/>
      <c r="R60" s="8"/>
      <c r="S60" s="8"/>
      <c r="U60" s="8"/>
      <c r="V60" s="8"/>
    </row>
    <row r="61" spans="1:22" x14ac:dyDescent="0.15">
      <c r="A61" s="7">
        <v>56</v>
      </c>
      <c r="B61" s="7">
        <f t="shared" si="0"/>
        <v>111000</v>
      </c>
      <c r="C61" s="7" t="str">
        <f t="shared" si="1"/>
        <v>38</v>
      </c>
      <c r="D61" s="8" t="str">
        <f t="shared" si="2"/>
        <v>文字列</v>
      </c>
      <c r="K61" s="8"/>
      <c r="L61" s="8"/>
      <c r="M61" s="8"/>
      <c r="N61" s="8"/>
      <c r="O61" s="8"/>
      <c r="P61" s="8"/>
      <c r="Q61" s="8"/>
      <c r="R61" s="8"/>
      <c r="S61" s="8"/>
      <c r="U61" s="8"/>
      <c r="V61" s="8"/>
    </row>
    <row r="62" spans="1:22" x14ac:dyDescent="0.15">
      <c r="A62" s="7">
        <v>57</v>
      </c>
      <c r="B62" s="7">
        <f t="shared" si="0"/>
        <v>111001</v>
      </c>
      <c r="C62" s="7" t="str">
        <f t="shared" si="1"/>
        <v>39</v>
      </c>
      <c r="D62" s="8" t="str">
        <f t="shared" si="2"/>
        <v>文字列</v>
      </c>
      <c r="K62" s="8"/>
      <c r="L62" s="8"/>
      <c r="M62" s="8"/>
      <c r="N62" s="8"/>
      <c r="O62" s="8"/>
      <c r="P62" s="8"/>
      <c r="Q62" s="8"/>
      <c r="R62" s="8"/>
      <c r="S62" s="8"/>
      <c r="U62" s="8"/>
      <c r="V62" s="8"/>
    </row>
    <row r="63" spans="1:22" x14ac:dyDescent="0.15">
      <c r="A63" s="7">
        <v>58</v>
      </c>
      <c r="B63" s="7">
        <f t="shared" si="0"/>
        <v>111010</v>
      </c>
      <c r="C63" s="7" t="str">
        <f t="shared" si="1"/>
        <v>3A</v>
      </c>
      <c r="D63" s="8" t="str">
        <f t="shared" si="2"/>
        <v>文字列</v>
      </c>
      <c r="K63" s="8"/>
      <c r="L63" s="8"/>
      <c r="M63" s="8"/>
      <c r="N63" s="8"/>
      <c r="O63" s="8"/>
      <c r="P63" s="8"/>
      <c r="Q63" s="8"/>
      <c r="R63" s="8"/>
      <c r="S63" s="8"/>
      <c r="U63" s="8"/>
      <c r="V63" s="8"/>
    </row>
    <row r="64" spans="1:22" x14ac:dyDescent="0.15">
      <c r="A64" s="7">
        <v>59</v>
      </c>
      <c r="B64" s="7">
        <f t="shared" si="0"/>
        <v>111011</v>
      </c>
      <c r="C64" s="7" t="str">
        <f t="shared" si="1"/>
        <v>3B</v>
      </c>
      <c r="D64" s="8" t="str">
        <f t="shared" si="2"/>
        <v>文字列</v>
      </c>
      <c r="K64" s="8"/>
      <c r="L64" s="8"/>
      <c r="M64" s="8"/>
      <c r="N64" s="8"/>
      <c r="O64" s="8"/>
      <c r="P64" s="8"/>
      <c r="Q64" s="8"/>
      <c r="R64" s="8"/>
      <c r="S64" s="8"/>
      <c r="U64" s="8"/>
      <c r="V64" s="8"/>
    </row>
    <row r="65" spans="1:22" x14ac:dyDescent="0.15">
      <c r="A65" s="7">
        <v>60</v>
      </c>
      <c r="B65" s="7">
        <f t="shared" si="0"/>
        <v>111100</v>
      </c>
      <c r="C65" s="7" t="str">
        <f t="shared" si="1"/>
        <v>3C</v>
      </c>
      <c r="D65" s="8" t="str">
        <f t="shared" si="2"/>
        <v>文字列</v>
      </c>
      <c r="J65" s="8"/>
      <c r="K65" s="8"/>
      <c r="L65" s="8"/>
      <c r="M65" s="8"/>
      <c r="N65" s="8"/>
      <c r="O65" s="8"/>
      <c r="P65" s="8"/>
      <c r="Q65" s="8"/>
      <c r="R65" s="8"/>
      <c r="S65" s="8"/>
      <c r="U65" s="8"/>
      <c r="V65" s="8"/>
    </row>
    <row r="66" spans="1:22" x14ac:dyDescent="0.15">
      <c r="A66" s="7">
        <v>61</v>
      </c>
      <c r="B66" s="7">
        <f t="shared" si="0"/>
        <v>111101</v>
      </c>
      <c r="C66" s="7" t="str">
        <f t="shared" si="1"/>
        <v>3D</v>
      </c>
      <c r="D66" s="8" t="str">
        <f t="shared" si="2"/>
        <v>文字列</v>
      </c>
      <c r="J66" s="8"/>
      <c r="K66" s="8"/>
      <c r="L66" s="8"/>
      <c r="M66" s="8"/>
      <c r="N66" s="8"/>
      <c r="O66" s="8"/>
      <c r="P66" s="8"/>
      <c r="Q66" s="8"/>
      <c r="R66" s="8"/>
      <c r="S66" s="8"/>
      <c r="U66" s="8"/>
      <c r="V66" s="8"/>
    </row>
    <row r="67" spans="1:22" x14ac:dyDescent="0.15">
      <c r="A67" s="7">
        <v>62</v>
      </c>
      <c r="B67" s="7">
        <f t="shared" si="0"/>
        <v>111110</v>
      </c>
      <c r="C67" s="7" t="str">
        <f t="shared" si="1"/>
        <v>3E</v>
      </c>
      <c r="D67" s="8" t="str">
        <f t="shared" si="2"/>
        <v>文字列</v>
      </c>
      <c r="J67" s="8"/>
      <c r="K67" s="8"/>
      <c r="L67" s="8"/>
      <c r="M67" s="8"/>
      <c r="N67" s="8"/>
      <c r="O67" s="8"/>
      <c r="P67" s="8"/>
      <c r="Q67" s="8"/>
      <c r="R67" s="8"/>
      <c r="S67" s="8"/>
      <c r="U67" s="8"/>
      <c r="V67" s="8"/>
    </row>
    <row r="68" spans="1:22" x14ac:dyDescent="0.15">
      <c r="A68" s="7">
        <v>63</v>
      </c>
      <c r="B68" s="7">
        <f t="shared" si="0"/>
        <v>111111</v>
      </c>
      <c r="C68" s="7" t="str">
        <f t="shared" si="1"/>
        <v>3F</v>
      </c>
      <c r="D68" s="8" t="str">
        <f t="shared" si="2"/>
        <v>文字列</v>
      </c>
      <c r="J68" s="8"/>
      <c r="K68" s="8"/>
      <c r="L68" s="8"/>
      <c r="M68" s="8"/>
      <c r="N68" s="8"/>
      <c r="O68" s="8"/>
      <c r="P68" s="8"/>
      <c r="Q68" s="8"/>
      <c r="R68" s="8"/>
      <c r="S68" s="8"/>
      <c r="U68" s="8"/>
      <c r="V68" s="8"/>
    </row>
    <row r="69" spans="1:22" x14ac:dyDescent="0.15">
      <c r="A69" s="7">
        <v>64</v>
      </c>
      <c r="B69" s="7">
        <f t="shared" si="0"/>
        <v>1000000</v>
      </c>
      <c r="C69" s="7" t="str">
        <f t="shared" si="1"/>
        <v>40</v>
      </c>
      <c r="D69" s="8" t="s">
        <v>310</v>
      </c>
      <c r="E69" s="8" t="s">
        <v>65</v>
      </c>
      <c r="F69" s="8" t="s">
        <v>410</v>
      </c>
      <c r="G69" s="8"/>
      <c r="H69" s="7" t="s">
        <v>26</v>
      </c>
      <c r="I69" s="8" t="s">
        <v>15</v>
      </c>
      <c r="J69" s="8"/>
      <c r="K69" s="8"/>
      <c r="L69" s="8"/>
      <c r="M69" s="8"/>
      <c r="N69" s="8"/>
      <c r="O69" s="8"/>
      <c r="P69" s="8"/>
      <c r="Q69" s="8"/>
      <c r="R69" s="8"/>
      <c r="S69" s="8"/>
      <c r="U69" s="8"/>
      <c r="V69" s="8"/>
    </row>
    <row r="70" spans="1:22" x14ac:dyDescent="0.15">
      <c r="A70" s="7">
        <v>65</v>
      </c>
      <c r="B70" s="7">
        <f t="shared" si="0"/>
        <v>1000001</v>
      </c>
      <c r="C70" s="7" t="str">
        <f t="shared" si="1"/>
        <v>41</v>
      </c>
      <c r="D70" s="8" t="s">
        <v>310</v>
      </c>
      <c r="E70" s="8" t="s">
        <v>67</v>
      </c>
      <c r="F70" s="8" t="s">
        <v>411</v>
      </c>
      <c r="G70" s="8"/>
      <c r="H70" s="7" t="s">
        <v>26</v>
      </c>
      <c r="I70" s="8" t="s">
        <v>15</v>
      </c>
      <c r="K70" s="8"/>
      <c r="L70" s="8"/>
      <c r="M70" s="8"/>
      <c r="N70" s="8"/>
      <c r="O70" s="8"/>
      <c r="P70" s="8"/>
      <c r="Q70" s="8"/>
      <c r="R70" s="8"/>
      <c r="S70" s="8"/>
      <c r="U70" s="8"/>
      <c r="V70" s="8"/>
    </row>
    <row r="71" spans="1:22" x14ac:dyDescent="0.15">
      <c r="A71" s="7">
        <v>66</v>
      </c>
      <c r="B71" s="7">
        <f t="shared" si="0"/>
        <v>1000010</v>
      </c>
      <c r="C71" s="7" t="str">
        <f t="shared" si="1"/>
        <v>42</v>
      </c>
      <c r="D71" s="8" t="s">
        <v>310</v>
      </c>
      <c r="K71" s="8"/>
      <c r="L71" s="8"/>
      <c r="M71" s="8"/>
      <c r="N71" s="8"/>
      <c r="O71" s="8"/>
      <c r="P71" s="8"/>
      <c r="Q71" s="8"/>
      <c r="R71" s="8"/>
      <c r="S71" s="8"/>
      <c r="U71" s="8"/>
      <c r="V71" s="8"/>
    </row>
    <row r="72" spans="1:22" x14ac:dyDescent="0.15">
      <c r="A72" s="7">
        <v>67</v>
      </c>
      <c r="B72" s="7">
        <f t="shared" si="0"/>
        <v>1000011</v>
      </c>
      <c r="C72" s="7" t="str">
        <f t="shared" si="1"/>
        <v>43</v>
      </c>
      <c r="D72" s="8" t="s">
        <v>130</v>
      </c>
      <c r="K72" s="8"/>
      <c r="L72" s="8"/>
      <c r="M72" s="8"/>
      <c r="N72" s="8"/>
      <c r="O72" s="8"/>
      <c r="P72" s="8"/>
      <c r="Q72" s="8"/>
      <c r="R72" s="8"/>
      <c r="S72" s="8"/>
      <c r="U72" s="8"/>
      <c r="V72" s="8"/>
    </row>
    <row r="73" spans="1:22" x14ac:dyDescent="0.15">
      <c r="A73" s="7">
        <v>68</v>
      </c>
      <c r="B73" s="7">
        <f t="shared" si="0"/>
        <v>1000100</v>
      </c>
      <c r="C73" s="7" t="str">
        <f t="shared" si="1"/>
        <v>44</v>
      </c>
      <c r="D73" s="8" t="s">
        <v>130</v>
      </c>
      <c r="L73" s="8"/>
      <c r="M73" s="8"/>
      <c r="N73" s="8"/>
      <c r="O73" s="8"/>
      <c r="P73" s="8"/>
      <c r="Q73" s="8"/>
      <c r="R73" s="8"/>
      <c r="S73" s="8"/>
      <c r="U73" s="8"/>
      <c r="V73" s="8"/>
    </row>
    <row r="74" spans="1:22" x14ac:dyDescent="0.15">
      <c r="A74" s="7">
        <v>69</v>
      </c>
      <c r="B74" s="7">
        <f t="shared" si="0"/>
        <v>1000101</v>
      </c>
      <c r="C74" s="7" t="str">
        <f t="shared" si="1"/>
        <v>45</v>
      </c>
      <c r="D74" s="8" t="s">
        <v>130</v>
      </c>
      <c r="L74" s="8"/>
      <c r="M74" s="8"/>
      <c r="N74" s="8"/>
      <c r="O74" s="8"/>
      <c r="P74" s="8"/>
      <c r="Q74" s="8"/>
      <c r="R74" s="8"/>
      <c r="S74" s="8"/>
      <c r="U74" s="8"/>
      <c r="V74" s="8"/>
    </row>
    <row r="75" spans="1:22" x14ac:dyDescent="0.15">
      <c r="A75" s="7">
        <v>70</v>
      </c>
      <c r="B75" s="7">
        <f t="shared" si="0"/>
        <v>1000110</v>
      </c>
      <c r="C75" s="7" t="str">
        <f t="shared" si="1"/>
        <v>46</v>
      </c>
      <c r="D75" s="8" t="s">
        <v>130</v>
      </c>
      <c r="E75" s="9" t="s">
        <v>408</v>
      </c>
      <c r="F75" s="9" t="s">
        <v>396</v>
      </c>
      <c r="H75" s="12">
        <v>10</v>
      </c>
      <c r="I75" s="8" t="s">
        <v>404</v>
      </c>
      <c r="L75" s="8"/>
      <c r="M75" s="8"/>
      <c r="N75" s="8"/>
      <c r="O75" s="8"/>
      <c r="P75" s="8"/>
      <c r="Q75" s="8"/>
      <c r="R75" s="8"/>
      <c r="S75" s="8"/>
      <c r="U75" s="8"/>
      <c r="V75" s="8"/>
    </row>
    <row r="76" spans="1:22" x14ac:dyDescent="0.15">
      <c r="A76" s="7">
        <v>71</v>
      </c>
      <c r="B76" s="7">
        <f t="shared" si="0"/>
        <v>1000111</v>
      </c>
      <c r="C76" s="7" t="str">
        <f t="shared" si="1"/>
        <v>47</v>
      </c>
      <c r="D76" s="8" t="s">
        <v>130</v>
      </c>
      <c r="L76" s="8"/>
      <c r="M76" s="8"/>
      <c r="N76" s="8"/>
      <c r="O76" s="8"/>
      <c r="P76" s="8"/>
      <c r="Q76" s="8"/>
      <c r="R76" s="8"/>
      <c r="S76" s="8"/>
      <c r="U76" s="8"/>
      <c r="V76" s="8"/>
    </row>
    <row r="77" spans="1:22" x14ac:dyDescent="0.15">
      <c r="A77" s="7">
        <v>72</v>
      </c>
      <c r="B77" s="7">
        <f t="shared" si="0"/>
        <v>1001000</v>
      </c>
      <c r="C77" s="7" t="str">
        <f t="shared" si="1"/>
        <v>48</v>
      </c>
      <c r="D77" s="8" t="s">
        <v>130</v>
      </c>
      <c r="L77" s="8"/>
      <c r="M77" s="8"/>
      <c r="N77" s="8"/>
      <c r="O77" s="8"/>
      <c r="P77" s="8"/>
      <c r="Q77" s="8"/>
      <c r="R77" s="8"/>
      <c r="S77" s="8"/>
      <c r="U77" s="8"/>
      <c r="V77" s="8"/>
    </row>
    <row r="78" spans="1:22" ht="12" customHeight="1" x14ac:dyDescent="0.15">
      <c r="A78" s="7">
        <v>73</v>
      </c>
      <c r="B78" s="7">
        <f t="shared" si="0"/>
        <v>1001001</v>
      </c>
      <c r="C78" s="7" t="str">
        <f t="shared" si="1"/>
        <v>49</v>
      </c>
      <c r="D78" s="8" t="s">
        <v>130</v>
      </c>
      <c r="E78" s="8"/>
      <c r="F78" s="8"/>
      <c r="G78" s="8"/>
      <c r="H78" s="7"/>
      <c r="I78" s="8"/>
      <c r="L78" s="8"/>
      <c r="M78" s="8"/>
      <c r="N78" s="8"/>
      <c r="O78" s="8"/>
      <c r="P78" s="8"/>
      <c r="Q78" s="8"/>
      <c r="R78" s="8"/>
      <c r="S78" s="8"/>
      <c r="U78" s="8"/>
      <c r="V78" s="8"/>
    </row>
    <row r="79" spans="1:22" x14ac:dyDescent="0.15">
      <c r="A79" s="7">
        <v>74</v>
      </c>
      <c r="B79" s="7">
        <f t="shared" si="0"/>
        <v>1001010</v>
      </c>
      <c r="C79" s="7" t="str">
        <f t="shared" si="1"/>
        <v>4A</v>
      </c>
      <c r="D79" s="8" t="s">
        <v>130</v>
      </c>
      <c r="E79" s="8"/>
      <c r="F79" s="8"/>
      <c r="G79" s="8"/>
      <c r="H79" s="7"/>
      <c r="I79" s="8"/>
      <c r="L79" s="8"/>
      <c r="M79" s="8"/>
      <c r="N79" s="8"/>
      <c r="O79" s="8"/>
      <c r="P79" s="8"/>
      <c r="Q79" s="8"/>
      <c r="R79" s="8"/>
      <c r="S79" s="8"/>
      <c r="U79" s="8"/>
      <c r="V79" s="8"/>
    </row>
    <row r="80" spans="1:22" x14ac:dyDescent="0.15">
      <c r="A80" s="7">
        <v>75</v>
      </c>
      <c r="B80" s="7">
        <f t="shared" si="0"/>
        <v>1001011</v>
      </c>
      <c r="C80" s="7" t="str">
        <f t="shared" si="1"/>
        <v>4B</v>
      </c>
      <c r="D80" s="8" t="s">
        <v>130</v>
      </c>
      <c r="E80" s="8"/>
      <c r="F80" s="8"/>
      <c r="G80" s="8"/>
      <c r="H80" s="7"/>
      <c r="I80" s="8"/>
      <c r="L80" s="8"/>
      <c r="M80" s="8"/>
      <c r="N80" s="8"/>
      <c r="O80" s="8"/>
      <c r="P80" s="8"/>
      <c r="Q80" s="8"/>
      <c r="R80" s="8"/>
      <c r="S80" s="8"/>
      <c r="U80" s="8"/>
      <c r="V80" s="8"/>
    </row>
    <row r="81" spans="1:31" x14ac:dyDescent="0.15">
      <c r="A81" s="7">
        <v>76</v>
      </c>
      <c r="B81" s="7">
        <f t="shared" si="0"/>
        <v>1001100</v>
      </c>
      <c r="C81" s="7" t="str">
        <f t="shared" si="1"/>
        <v>4C</v>
      </c>
      <c r="D81" s="8" t="s">
        <v>130</v>
      </c>
      <c r="E81" s="8"/>
      <c r="F81" s="8"/>
      <c r="G81" s="8"/>
      <c r="H81" s="7"/>
      <c r="I81" s="8"/>
      <c r="L81" s="8"/>
      <c r="M81" s="8"/>
      <c r="N81" s="8"/>
      <c r="O81" s="8"/>
      <c r="P81" s="8"/>
      <c r="Q81" s="8"/>
      <c r="R81" s="8"/>
      <c r="S81" s="8"/>
      <c r="U81" s="8"/>
      <c r="V81" s="8"/>
    </row>
    <row r="82" spans="1:31" x14ac:dyDescent="0.15">
      <c r="A82" s="7">
        <v>77</v>
      </c>
      <c r="B82" s="7">
        <f t="shared" si="0"/>
        <v>1001101</v>
      </c>
      <c r="C82" s="7" t="str">
        <f t="shared" si="1"/>
        <v>4D</v>
      </c>
      <c r="D82" s="8" t="s">
        <v>130</v>
      </c>
      <c r="L82" s="8"/>
      <c r="M82" s="8"/>
      <c r="N82" s="8"/>
      <c r="O82" s="8"/>
      <c r="P82" s="8"/>
      <c r="Q82" s="8"/>
      <c r="R82" s="8"/>
      <c r="S82" s="8"/>
      <c r="U82" s="8"/>
      <c r="V82" s="8"/>
    </row>
    <row r="83" spans="1:31" x14ac:dyDescent="0.15">
      <c r="A83" s="7">
        <v>78</v>
      </c>
      <c r="B83" s="7">
        <f t="shared" si="0"/>
        <v>1001110</v>
      </c>
      <c r="C83" s="7" t="str">
        <f t="shared" si="1"/>
        <v>4E</v>
      </c>
      <c r="D83" s="8" t="s">
        <v>130</v>
      </c>
      <c r="L83" s="8"/>
      <c r="M83" s="8"/>
      <c r="N83" s="8"/>
      <c r="O83" s="8"/>
      <c r="P83" s="8"/>
      <c r="Q83" s="8"/>
      <c r="R83" s="8"/>
      <c r="S83" s="8"/>
      <c r="U83" s="8"/>
      <c r="V83" s="8"/>
    </row>
    <row r="84" spans="1:31" x14ac:dyDescent="0.15">
      <c r="A84" s="7">
        <v>79</v>
      </c>
      <c r="B84" s="7">
        <f t="shared" si="0"/>
        <v>1001111</v>
      </c>
      <c r="C84" s="7" t="str">
        <f t="shared" si="1"/>
        <v>4F</v>
      </c>
      <c r="D84" s="8" t="s">
        <v>130</v>
      </c>
      <c r="E84" s="8"/>
      <c r="F84" s="8"/>
      <c r="G84" s="8"/>
      <c r="H84" s="7"/>
      <c r="I84" s="8"/>
      <c r="L84" s="8"/>
      <c r="M84" s="8"/>
      <c r="N84" s="8"/>
      <c r="O84" s="8"/>
      <c r="P84" s="8"/>
      <c r="Q84" s="8"/>
      <c r="R84" s="8"/>
      <c r="S84" s="8"/>
      <c r="U84" s="8"/>
      <c r="V84" s="8"/>
    </row>
    <row r="85" spans="1:31" x14ac:dyDescent="0.15">
      <c r="A85" s="7">
        <v>80</v>
      </c>
      <c r="B85" s="7">
        <f t="shared" si="0"/>
        <v>1010000</v>
      </c>
      <c r="C85" s="7" t="str">
        <f t="shared" si="1"/>
        <v>50</v>
      </c>
      <c r="D85" s="8" t="s">
        <v>130</v>
      </c>
      <c r="E85" s="8" t="s">
        <v>69</v>
      </c>
      <c r="F85" s="8" t="s">
        <v>70</v>
      </c>
      <c r="G85" s="8" t="s">
        <v>300</v>
      </c>
      <c r="H85" s="7">
        <v>10</v>
      </c>
      <c r="I85" s="8" t="s">
        <v>401</v>
      </c>
      <c r="L85" s="8"/>
      <c r="M85" s="8"/>
      <c r="N85" s="8"/>
      <c r="O85" s="8"/>
      <c r="P85" s="8"/>
      <c r="Q85" s="8"/>
      <c r="R85" s="8"/>
      <c r="S85" s="8"/>
      <c r="U85" s="8"/>
      <c r="V85" s="8"/>
    </row>
    <row r="86" spans="1:31" x14ac:dyDescent="0.15">
      <c r="A86" s="7">
        <v>81</v>
      </c>
      <c r="B86" s="7">
        <f t="shared" si="0"/>
        <v>1010001</v>
      </c>
      <c r="C86" s="7" t="str">
        <f t="shared" si="1"/>
        <v>51</v>
      </c>
      <c r="D86" s="8" t="s">
        <v>130</v>
      </c>
      <c r="E86" s="8" t="s">
        <v>71</v>
      </c>
      <c r="F86" s="8" t="s">
        <v>72</v>
      </c>
      <c r="G86" s="8"/>
      <c r="H86" s="7">
        <v>10</v>
      </c>
      <c r="I86" s="8" t="s">
        <v>401</v>
      </c>
      <c r="L86" s="8"/>
      <c r="M86" s="8"/>
      <c r="N86" s="8"/>
      <c r="O86" s="8"/>
      <c r="P86" s="8"/>
      <c r="Q86" s="8"/>
      <c r="R86" s="8"/>
      <c r="S86" s="8"/>
      <c r="U86" s="8"/>
      <c r="V86" s="8"/>
    </row>
    <row r="87" spans="1:31" x14ac:dyDescent="0.15">
      <c r="A87" s="7">
        <v>82</v>
      </c>
      <c r="B87" s="7">
        <f t="shared" si="0"/>
        <v>1010010</v>
      </c>
      <c r="C87" s="7" t="str">
        <f t="shared" si="1"/>
        <v>52</v>
      </c>
      <c r="D87" s="8" t="s">
        <v>130</v>
      </c>
      <c r="E87" s="8" t="s">
        <v>73</v>
      </c>
      <c r="F87" s="8" t="s">
        <v>74</v>
      </c>
      <c r="G87" s="8"/>
      <c r="H87" s="7">
        <v>10</v>
      </c>
      <c r="I87" s="8" t="s">
        <v>401</v>
      </c>
      <c r="L87" s="8"/>
      <c r="M87" s="8"/>
      <c r="N87" s="8"/>
      <c r="O87" s="8"/>
      <c r="P87" s="8"/>
      <c r="Q87" s="8"/>
      <c r="R87" s="8"/>
      <c r="S87" s="8"/>
      <c r="U87" s="8"/>
      <c r="V87" s="8"/>
    </row>
    <row r="88" spans="1:31" x14ac:dyDescent="0.15">
      <c r="A88" s="7">
        <v>83</v>
      </c>
      <c r="B88" s="7">
        <f t="shared" si="0"/>
        <v>1010011</v>
      </c>
      <c r="C88" s="7" t="str">
        <f t="shared" si="1"/>
        <v>53</v>
      </c>
      <c r="D88" s="8" t="s">
        <v>130</v>
      </c>
      <c r="E88" s="8" t="s">
        <v>75</v>
      </c>
      <c r="F88" s="8" t="s">
        <v>76</v>
      </c>
      <c r="G88" s="8"/>
      <c r="H88" s="7">
        <v>10</v>
      </c>
      <c r="I88" s="8" t="s">
        <v>401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x14ac:dyDescent="0.15">
      <c r="A89" s="7">
        <v>84</v>
      </c>
      <c r="B89" s="7">
        <f t="shared" si="0"/>
        <v>1010100</v>
      </c>
      <c r="C89" s="7" t="str">
        <f t="shared" si="1"/>
        <v>54</v>
      </c>
      <c r="D89" s="8" t="s">
        <v>130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15">
      <c r="A90" s="7">
        <v>85</v>
      </c>
      <c r="B90" s="7">
        <f t="shared" si="0"/>
        <v>1010101</v>
      </c>
      <c r="C90" s="7" t="str">
        <f t="shared" si="1"/>
        <v>55</v>
      </c>
      <c r="D90" s="8" t="s">
        <v>130</v>
      </c>
      <c r="E90" s="8"/>
      <c r="F90" s="8"/>
      <c r="G90" s="8"/>
      <c r="H90" s="7"/>
      <c r="I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x14ac:dyDescent="0.15">
      <c r="A91" s="7">
        <v>86</v>
      </c>
      <c r="B91" s="7">
        <f t="shared" si="0"/>
        <v>1010110</v>
      </c>
      <c r="C91" s="7" t="str">
        <f t="shared" si="1"/>
        <v>56</v>
      </c>
      <c r="D91" s="8" t="s">
        <v>130</v>
      </c>
      <c r="E91" s="8"/>
      <c r="F91" s="8"/>
      <c r="G91" s="8"/>
      <c r="H91" s="7"/>
      <c r="I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x14ac:dyDescent="0.15">
      <c r="A92" s="7">
        <v>87</v>
      </c>
      <c r="B92" s="7">
        <f t="shared" si="0"/>
        <v>1010111</v>
      </c>
      <c r="C92" s="7" t="str">
        <f t="shared" si="1"/>
        <v>57</v>
      </c>
      <c r="D92" s="8" t="s">
        <v>130</v>
      </c>
      <c r="E92" s="8"/>
      <c r="F92" s="8"/>
      <c r="G92" s="8"/>
      <c r="H92" s="7"/>
      <c r="I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x14ac:dyDescent="0.15">
      <c r="A93" s="7">
        <v>88</v>
      </c>
      <c r="B93" s="7">
        <f t="shared" si="0"/>
        <v>1011000</v>
      </c>
      <c r="C93" s="7" t="str">
        <f t="shared" si="1"/>
        <v>58</v>
      </c>
      <c r="D93" s="8" t="s">
        <v>130</v>
      </c>
      <c r="E93" s="8"/>
      <c r="F93" s="8"/>
      <c r="G93" s="8"/>
      <c r="H93" s="7"/>
      <c r="I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x14ac:dyDescent="0.15">
      <c r="A94" s="7">
        <v>89</v>
      </c>
      <c r="B94" s="7">
        <f t="shared" si="0"/>
        <v>1011001</v>
      </c>
      <c r="C94" s="7" t="str">
        <f t="shared" si="1"/>
        <v>59</v>
      </c>
      <c r="D94" s="8" t="s">
        <v>130</v>
      </c>
      <c r="E94" s="8"/>
      <c r="F94" s="8"/>
      <c r="G94" s="8"/>
      <c r="H94" s="7"/>
      <c r="I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x14ac:dyDescent="0.15">
      <c r="A95" s="7">
        <v>90</v>
      </c>
      <c r="B95" s="7">
        <f t="shared" si="0"/>
        <v>1011010</v>
      </c>
      <c r="C95" s="7" t="str">
        <f>DEC2HEX(A95)</f>
        <v>5A</v>
      </c>
      <c r="D95" s="8" t="s">
        <v>130</v>
      </c>
      <c r="E95" s="8"/>
      <c r="F95" s="8"/>
      <c r="G95" s="8"/>
      <c r="H95" s="7"/>
      <c r="I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15">
      <c r="A96" s="7">
        <v>91</v>
      </c>
      <c r="B96" s="7">
        <f t="shared" si="0"/>
        <v>1011011</v>
      </c>
      <c r="C96" s="7" t="str">
        <f t="shared" si="1"/>
        <v>5B</v>
      </c>
      <c r="D96" s="8" t="s">
        <v>130</v>
      </c>
      <c r="E96" s="8"/>
      <c r="F96" s="8"/>
      <c r="G96" s="8"/>
      <c r="H96" s="7"/>
      <c r="I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x14ac:dyDescent="0.15">
      <c r="A97" s="7">
        <v>92</v>
      </c>
      <c r="B97" s="7">
        <f t="shared" si="0"/>
        <v>1011100</v>
      </c>
      <c r="C97" s="7" t="str">
        <f t="shared" si="1"/>
        <v>5C</v>
      </c>
      <c r="D97" s="8" t="s">
        <v>130</v>
      </c>
      <c r="E97" s="8"/>
      <c r="F97" s="8"/>
      <c r="G97" s="8"/>
      <c r="H97" s="7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x14ac:dyDescent="0.15">
      <c r="A98" s="7">
        <v>93</v>
      </c>
      <c r="B98" s="7">
        <f t="shared" si="0"/>
        <v>1011101</v>
      </c>
      <c r="C98" s="7" t="str">
        <f t="shared" si="1"/>
        <v>5D</v>
      </c>
      <c r="D98" s="8" t="s">
        <v>130</v>
      </c>
      <c r="E98" s="8"/>
      <c r="F98" s="8"/>
      <c r="G98" s="8"/>
      <c r="H98" s="7"/>
      <c r="I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x14ac:dyDescent="0.15">
      <c r="A99" s="7">
        <v>94</v>
      </c>
      <c r="B99" s="7">
        <f t="shared" si="0"/>
        <v>1011110</v>
      </c>
      <c r="C99" s="7" t="str">
        <f t="shared" si="1"/>
        <v>5E</v>
      </c>
      <c r="D99" s="8" t="s">
        <v>130</v>
      </c>
      <c r="E99" s="8"/>
      <c r="F99" s="8"/>
      <c r="G99" s="8"/>
      <c r="H99" s="7"/>
      <c r="I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x14ac:dyDescent="0.15">
      <c r="A100" s="7">
        <v>95</v>
      </c>
      <c r="B100" s="7">
        <f t="shared" si="0"/>
        <v>1011111</v>
      </c>
      <c r="C100" s="7" t="str">
        <f t="shared" si="1"/>
        <v>5F</v>
      </c>
      <c r="D100" s="8" t="s">
        <v>130</v>
      </c>
      <c r="E100" s="8"/>
      <c r="F100" s="8"/>
      <c r="G100" s="8"/>
      <c r="H100" s="7"/>
      <c r="I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x14ac:dyDescent="0.15">
      <c r="A101" s="7">
        <v>96</v>
      </c>
      <c r="B101" s="7">
        <f t="shared" si="0"/>
        <v>1100000</v>
      </c>
      <c r="C101" s="7" t="str">
        <f t="shared" si="1"/>
        <v>60</v>
      </c>
      <c r="D101" s="8" t="s">
        <v>130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15">
      <c r="A102" s="7">
        <v>97</v>
      </c>
      <c r="B102" s="7">
        <f t="shared" si="0"/>
        <v>1100001</v>
      </c>
      <c r="C102" s="7" t="str">
        <f t="shared" si="1"/>
        <v>61</v>
      </c>
      <c r="D102" s="8" t="s">
        <v>130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x14ac:dyDescent="0.15">
      <c r="A103" s="7">
        <v>98</v>
      </c>
      <c r="B103" s="7">
        <f t="shared" si="0"/>
        <v>1100010</v>
      </c>
      <c r="C103" s="7" t="str">
        <f t="shared" si="1"/>
        <v>62</v>
      </c>
      <c r="D103" s="8" t="s">
        <v>130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15">
      <c r="A104" s="7">
        <v>99</v>
      </c>
      <c r="B104" s="7">
        <f t="shared" si="0"/>
        <v>1100011</v>
      </c>
      <c r="C104" s="7" t="str">
        <f t="shared" si="1"/>
        <v>63</v>
      </c>
      <c r="D104" s="8" t="s">
        <v>130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x14ac:dyDescent="0.15">
      <c r="A105" s="7">
        <v>100</v>
      </c>
      <c r="B105" s="7">
        <f t="shared" si="0"/>
        <v>1100100</v>
      </c>
      <c r="C105" s="7" t="str">
        <f t="shared" si="1"/>
        <v>64</v>
      </c>
      <c r="D105" s="8" t="s">
        <v>130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x14ac:dyDescent="0.15">
      <c r="A106" s="7">
        <v>101</v>
      </c>
      <c r="B106" s="7">
        <f t="shared" si="0"/>
        <v>1100101</v>
      </c>
      <c r="C106" s="7" t="str">
        <f t="shared" si="1"/>
        <v>65</v>
      </c>
      <c r="D106" s="8" t="s">
        <v>130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x14ac:dyDescent="0.15">
      <c r="A107" s="7">
        <v>102</v>
      </c>
      <c r="B107" s="7">
        <f t="shared" si="0"/>
        <v>1100110</v>
      </c>
      <c r="C107" s="7" t="str">
        <f t="shared" si="1"/>
        <v>66</v>
      </c>
      <c r="D107" s="8" t="s">
        <v>130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15">
      <c r="A108" s="7">
        <v>103</v>
      </c>
      <c r="B108" s="7">
        <f t="shared" si="0"/>
        <v>1100111</v>
      </c>
      <c r="C108" s="7" t="str">
        <f t="shared" si="1"/>
        <v>67</v>
      </c>
      <c r="D108" s="8" t="s">
        <v>130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x14ac:dyDescent="0.15">
      <c r="A109" s="7">
        <v>104</v>
      </c>
      <c r="B109" s="7">
        <f t="shared" si="0"/>
        <v>1101000</v>
      </c>
      <c r="C109" s="7" t="str">
        <f t="shared" si="1"/>
        <v>68</v>
      </c>
      <c r="D109" s="8" t="s">
        <v>130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15">
      <c r="A110" s="7">
        <v>105</v>
      </c>
      <c r="B110" s="7">
        <f t="shared" si="0"/>
        <v>1101001</v>
      </c>
      <c r="C110" s="7" t="str">
        <f t="shared" si="1"/>
        <v>69</v>
      </c>
      <c r="D110" s="8" t="s">
        <v>130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x14ac:dyDescent="0.15">
      <c r="A111" s="7">
        <v>106</v>
      </c>
      <c r="B111" s="7">
        <f t="shared" si="0"/>
        <v>1101010</v>
      </c>
      <c r="C111" s="7" t="str">
        <f t="shared" si="1"/>
        <v>6A</v>
      </c>
      <c r="D111" s="8" t="s">
        <v>130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x14ac:dyDescent="0.15">
      <c r="A112" s="7">
        <v>107</v>
      </c>
      <c r="B112" s="7">
        <f t="shared" si="0"/>
        <v>1101011</v>
      </c>
      <c r="C112" s="7" t="str">
        <f t="shared" si="1"/>
        <v>6B</v>
      </c>
      <c r="D112" s="8" t="s">
        <v>130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x14ac:dyDescent="0.15">
      <c r="A113" s="7">
        <v>108</v>
      </c>
      <c r="B113" s="7">
        <f t="shared" si="0"/>
        <v>1101100</v>
      </c>
      <c r="C113" s="7" t="str">
        <f t="shared" si="1"/>
        <v>6C</v>
      </c>
      <c r="D113" s="8" t="s">
        <v>130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15">
      <c r="A114" s="7">
        <v>109</v>
      </c>
      <c r="B114" s="7">
        <f t="shared" si="0"/>
        <v>1101101</v>
      </c>
      <c r="C114" s="7" t="str">
        <f t="shared" si="1"/>
        <v>6D</v>
      </c>
      <c r="D114" s="8" t="s">
        <v>130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x14ac:dyDescent="0.15">
      <c r="A115" s="7">
        <v>110</v>
      </c>
      <c r="B115" s="7">
        <f t="shared" si="0"/>
        <v>1101110</v>
      </c>
      <c r="C115" s="7" t="str">
        <f t="shared" si="1"/>
        <v>6E</v>
      </c>
      <c r="D115" s="8" t="s">
        <v>130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x14ac:dyDescent="0.15">
      <c r="A116" s="7">
        <v>111</v>
      </c>
      <c r="B116" s="7">
        <f>DEC2BIN(A116/512)*1000000000+DEC2BIN(MOD(A116,512))</f>
        <v>1101111</v>
      </c>
      <c r="C116" s="7" t="str">
        <f>DEC2HEX(A116)</f>
        <v>6F</v>
      </c>
      <c r="D116" s="8" t="s">
        <v>130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x14ac:dyDescent="0.15">
      <c r="A117" s="7">
        <v>112</v>
      </c>
      <c r="B117" s="7">
        <f t="shared" si="0"/>
        <v>1110000</v>
      </c>
      <c r="C117" s="7" t="str">
        <f t="shared" si="1"/>
        <v>70</v>
      </c>
      <c r="D117" s="8" t="s">
        <v>130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x14ac:dyDescent="0.15">
      <c r="A118" s="7">
        <v>113</v>
      </c>
      <c r="B118" s="7">
        <f t="shared" si="0"/>
        <v>1110001</v>
      </c>
      <c r="C118" s="7" t="str">
        <f t="shared" si="1"/>
        <v>71</v>
      </c>
      <c r="D118" s="8" t="s">
        <v>130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x14ac:dyDescent="0.15">
      <c r="A119" s="7">
        <v>114</v>
      </c>
      <c r="B119" s="7">
        <f t="shared" si="0"/>
        <v>1110010</v>
      </c>
      <c r="C119" s="7" t="str">
        <f t="shared" si="1"/>
        <v>72</v>
      </c>
      <c r="D119" s="8" t="s">
        <v>130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x14ac:dyDescent="0.15">
      <c r="A120" s="7">
        <v>115</v>
      </c>
      <c r="B120" s="7">
        <f t="shared" si="0"/>
        <v>1110011</v>
      </c>
      <c r="C120" s="7" t="str">
        <f t="shared" si="1"/>
        <v>73</v>
      </c>
      <c r="D120" s="8" t="s">
        <v>130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x14ac:dyDescent="0.15">
      <c r="A121" s="7">
        <v>116</v>
      </c>
      <c r="B121" s="7">
        <f t="shared" si="0"/>
        <v>1110100</v>
      </c>
      <c r="C121" s="7" t="str">
        <f t="shared" si="1"/>
        <v>74</v>
      </c>
      <c r="D121" s="8" t="s">
        <v>130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x14ac:dyDescent="0.15">
      <c r="A122" s="7">
        <v>117</v>
      </c>
      <c r="B122" s="7">
        <f t="shared" si="0"/>
        <v>1110101</v>
      </c>
      <c r="C122" s="7" t="str">
        <f t="shared" si="1"/>
        <v>75</v>
      </c>
      <c r="D122" s="8" t="s">
        <v>130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x14ac:dyDescent="0.15">
      <c r="A123" s="7">
        <v>118</v>
      </c>
      <c r="B123" s="7">
        <f t="shared" si="0"/>
        <v>1110110</v>
      </c>
      <c r="C123" s="7" t="str">
        <f t="shared" si="1"/>
        <v>76</v>
      </c>
      <c r="D123" s="8" t="s">
        <v>130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x14ac:dyDescent="0.15">
      <c r="A124" s="7">
        <v>119</v>
      </c>
      <c r="B124" s="7">
        <f t="shared" si="0"/>
        <v>1110111</v>
      </c>
      <c r="C124" s="7" t="str">
        <f t="shared" si="1"/>
        <v>77</v>
      </c>
      <c r="D124" s="8" t="s">
        <v>130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x14ac:dyDescent="0.15">
      <c r="A125" s="7">
        <v>120</v>
      </c>
      <c r="B125" s="7">
        <f t="shared" si="0"/>
        <v>1111000</v>
      </c>
      <c r="C125" s="7" t="str">
        <f t="shared" si="1"/>
        <v>78</v>
      </c>
      <c r="D125" s="8" t="s">
        <v>130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x14ac:dyDescent="0.15">
      <c r="A126" s="7">
        <v>121</v>
      </c>
      <c r="B126" s="7">
        <f t="shared" si="0"/>
        <v>1111001</v>
      </c>
      <c r="C126" s="7" t="str">
        <f t="shared" si="1"/>
        <v>79</v>
      </c>
      <c r="D126" s="8" t="s">
        <v>130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x14ac:dyDescent="0.15">
      <c r="A127" s="7">
        <v>122</v>
      </c>
      <c r="B127" s="7">
        <f t="shared" si="0"/>
        <v>1111010</v>
      </c>
      <c r="C127" s="7" t="str">
        <f>DEC2HEX(A127)</f>
        <v>7A</v>
      </c>
      <c r="D127" s="8" t="s">
        <v>130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x14ac:dyDescent="0.15">
      <c r="A128" s="7">
        <v>123</v>
      </c>
      <c r="B128" s="7">
        <f t="shared" si="0"/>
        <v>1111011</v>
      </c>
      <c r="C128" s="7" t="str">
        <f t="shared" ref="C128:C142" si="5">DEC2HEX(A128)</f>
        <v>7B</v>
      </c>
      <c r="D128" s="8" t="s">
        <v>130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x14ac:dyDescent="0.15">
      <c r="A129" s="7">
        <v>124</v>
      </c>
      <c r="B129" s="7">
        <f t="shared" si="0"/>
        <v>1111100</v>
      </c>
      <c r="C129" s="7" t="str">
        <f t="shared" si="5"/>
        <v>7C</v>
      </c>
      <c r="D129" s="8" t="s">
        <v>130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x14ac:dyDescent="0.15">
      <c r="A130" s="7">
        <v>125</v>
      </c>
      <c r="B130" s="7">
        <f t="shared" si="0"/>
        <v>1111101</v>
      </c>
      <c r="C130" s="7" t="str">
        <f t="shared" si="5"/>
        <v>7D</v>
      </c>
      <c r="D130" s="8" t="s">
        <v>130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x14ac:dyDescent="0.15">
      <c r="A131" s="7">
        <v>126</v>
      </c>
      <c r="B131" s="7">
        <f t="shared" si="0"/>
        <v>1111110</v>
      </c>
      <c r="C131" s="7" t="str">
        <f t="shared" si="5"/>
        <v>7E</v>
      </c>
      <c r="D131" s="8" t="s">
        <v>130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x14ac:dyDescent="0.15">
      <c r="A132" s="7">
        <v>127</v>
      </c>
      <c r="B132" s="7">
        <f t="shared" si="0"/>
        <v>1111111</v>
      </c>
      <c r="C132" s="7" t="str">
        <f t="shared" si="5"/>
        <v>7F</v>
      </c>
      <c r="D132" s="8" t="s">
        <v>130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x14ac:dyDescent="0.15">
      <c r="A133" s="7">
        <v>128</v>
      </c>
      <c r="B133" s="7">
        <f t="shared" si="0"/>
        <v>10000000</v>
      </c>
      <c r="C133" s="7" t="str">
        <f t="shared" si="5"/>
        <v>80</v>
      </c>
      <c r="D133" s="8" t="s">
        <v>341</v>
      </c>
      <c r="E133" s="8" t="s">
        <v>412</v>
      </c>
      <c r="F133" s="8" t="s">
        <v>82</v>
      </c>
      <c r="H133" s="7" t="s">
        <v>26</v>
      </c>
      <c r="I133" s="8" t="s">
        <v>15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x14ac:dyDescent="0.15">
      <c r="A134" s="7">
        <v>129</v>
      </c>
      <c r="B134" s="7">
        <f t="shared" si="0"/>
        <v>10000001</v>
      </c>
      <c r="C134" s="7" t="str">
        <f t="shared" si="5"/>
        <v>81</v>
      </c>
      <c r="D134" s="8" t="s">
        <v>341</v>
      </c>
      <c r="E134" s="8" t="s">
        <v>409</v>
      </c>
      <c r="F134" s="8" t="s">
        <v>82</v>
      </c>
      <c r="H134" s="7">
        <v>100</v>
      </c>
      <c r="I134" s="9" t="s">
        <v>198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x14ac:dyDescent="0.15">
      <c r="A135" s="7">
        <v>130</v>
      </c>
      <c r="B135" s="7">
        <f t="shared" si="0"/>
        <v>10000010</v>
      </c>
      <c r="C135" s="7" t="str">
        <f t="shared" si="5"/>
        <v>82</v>
      </c>
      <c r="D135" s="8" t="s">
        <v>341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x14ac:dyDescent="0.15">
      <c r="A136" s="7">
        <v>131</v>
      </c>
      <c r="B136" s="7">
        <f t="shared" si="0"/>
        <v>10000011</v>
      </c>
      <c r="C136" s="7" t="str">
        <f t="shared" si="5"/>
        <v>83</v>
      </c>
      <c r="D136" s="8" t="s">
        <v>341</v>
      </c>
      <c r="E136" s="9" t="s">
        <v>418</v>
      </c>
      <c r="F136" s="9" t="s">
        <v>417</v>
      </c>
      <c r="H136" s="12">
        <v>100</v>
      </c>
      <c r="I136" s="9" t="s">
        <v>198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x14ac:dyDescent="0.15">
      <c r="A137" s="7">
        <v>132</v>
      </c>
      <c r="B137" s="7">
        <f t="shared" si="0"/>
        <v>10000100</v>
      </c>
      <c r="C137" s="7" t="str">
        <f t="shared" si="5"/>
        <v>84</v>
      </c>
      <c r="D137" s="8" t="s">
        <v>341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x14ac:dyDescent="0.15">
      <c r="A138" s="7">
        <v>133</v>
      </c>
      <c r="B138" s="7">
        <f t="shared" si="0"/>
        <v>10000101</v>
      </c>
      <c r="C138" s="7" t="str">
        <f t="shared" si="5"/>
        <v>85</v>
      </c>
      <c r="D138" s="8" t="s">
        <v>341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x14ac:dyDescent="0.15">
      <c r="A139" s="7">
        <v>134</v>
      </c>
      <c r="B139" s="7">
        <f t="shared" si="0"/>
        <v>10000110</v>
      </c>
      <c r="C139" s="7" t="str">
        <f t="shared" si="5"/>
        <v>86</v>
      </c>
      <c r="D139" s="8" t="s">
        <v>341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x14ac:dyDescent="0.15">
      <c r="A140" s="7">
        <v>135</v>
      </c>
      <c r="B140" s="7">
        <f t="shared" si="0"/>
        <v>10000111</v>
      </c>
      <c r="C140" s="7" t="str">
        <f t="shared" si="5"/>
        <v>87</v>
      </c>
      <c r="D140" s="8" t="s">
        <v>341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x14ac:dyDescent="0.15">
      <c r="A141" s="7">
        <v>136</v>
      </c>
      <c r="B141" s="7">
        <f t="shared" si="0"/>
        <v>10001000</v>
      </c>
      <c r="C141" s="7" t="str">
        <f t="shared" si="5"/>
        <v>88</v>
      </c>
      <c r="D141" s="8" t="s">
        <v>341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x14ac:dyDescent="0.15">
      <c r="A142" s="7">
        <v>137</v>
      </c>
      <c r="B142" s="7">
        <f t="shared" si="0"/>
        <v>10001001</v>
      </c>
      <c r="C142" s="7" t="str">
        <f t="shared" si="5"/>
        <v>89</v>
      </c>
      <c r="D142" s="8" t="s">
        <v>341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x14ac:dyDescent="0.15">
      <c r="A143" s="7">
        <v>138</v>
      </c>
      <c r="B143" s="7">
        <f t="shared" si="0"/>
        <v>10001010</v>
      </c>
      <c r="C143" s="7" t="str">
        <f>DEC2HEX(A143)</f>
        <v>8A</v>
      </c>
      <c r="D143" s="8" t="s">
        <v>341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x14ac:dyDescent="0.15">
      <c r="A144" s="7">
        <v>139</v>
      </c>
      <c r="B144" s="7">
        <f t="shared" si="0"/>
        <v>10001011</v>
      </c>
      <c r="C144" s="7" t="str">
        <f t="shared" ref="C144:C158" si="6">DEC2HEX(A144)</f>
        <v>8B</v>
      </c>
      <c r="D144" s="8" t="s">
        <v>341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x14ac:dyDescent="0.15">
      <c r="A145" s="7">
        <v>140</v>
      </c>
      <c r="B145" s="7">
        <f t="shared" si="0"/>
        <v>10001100</v>
      </c>
      <c r="C145" s="7" t="str">
        <f t="shared" si="6"/>
        <v>8C</v>
      </c>
      <c r="D145" s="8" t="s">
        <v>341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x14ac:dyDescent="0.15">
      <c r="A146" s="7">
        <v>141</v>
      </c>
      <c r="B146" s="7">
        <f t="shared" si="0"/>
        <v>10001101</v>
      </c>
      <c r="C146" s="7" t="str">
        <f t="shared" si="6"/>
        <v>8D</v>
      </c>
      <c r="D146" s="8" t="s">
        <v>341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x14ac:dyDescent="0.15">
      <c r="A147" s="7">
        <v>142</v>
      </c>
      <c r="B147" s="7">
        <f t="shared" si="0"/>
        <v>10001110</v>
      </c>
      <c r="C147" s="7" t="str">
        <f t="shared" si="6"/>
        <v>8E</v>
      </c>
      <c r="D147" s="8" t="s">
        <v>341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x14ac:dyDescent="0.15">
      <c r="A148" s="7">
        <v>143</v>
      </c>
      <c r="B148" s="7">
        <f t="shared" si="0"/>
        <v>10001111</v>
      </c>
      <c r="C148" s="7" t="str">
        <f t="shared" si="6"/>
        <v>8F</v>
      </c>
      <c r="D148" s="8" t="s">
        <v>341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x14ac:dyDescent="0.15">
      <c r="A149" s="7">
        <v>144</v>
      </c>
      <c r="B149" s="7">
        <f t="shared" si="0"/>
        <v>10010000</v>
      </c>
      <c r="C149" s="7" t="str">
        <f t="shared" si="6"/>
        <v>90</v>
      </c>
      <c r="D149" s="8" t="s">
        <v>341</v>
      </c>
      <c r="E149" s="11" t="s">
        <v>281</v>
      </c>
      <c r="F149" s="11" t="s">
        <v>84</v>
      </c>
      <c r="G149" s="8" t="s">
        <v>298</v>
      </c>
      <c r="H149" s="7">
        <v>100</v>
      </c>
      <c r="I149" s="9" t="s">
        <v>399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x14ac:dyDescent="0.15">
      <c r="A150" s="7">
        <v>145</v>
      </c>
      <c r="B150" s="7">
        <f t="shared" si="0"/>
        <v>10010001</v>
      </c>
      <c r="C150" s="7" t="str">
        <f t="shared" si="6"/>
        <v>91</v>
      </c>
      <c r="D150" s="8" t="s">
        <v>341</v>
      </c>
      <c r="E150" s="11" t="s">
        <v>85</v>
      </c>
      <c r="F150" s="11" t="s">
        <v>86</v>
      </c>
      <c r="G150" s="8"/>
      <c r="H150" s="7">
        <v>100</v>
      </c>
      <c r="I150" s="9" t="s">
        <v>399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x14ac:dyDescent="0.15">
      <c r="A151" s="7">
        <v>146</v>
      </c>
      <c r="B151" s="7">
        <f t="shared" si="0"/>
        <v>10010010</v>
      </c>
      <c r="C151" s="7" t="str">
        <f t="shared" si="6"/>
        <v>92</v>
      </c>
      <c r="D151" s="8" t="s">
        <v>341</v>
      </c>
      <c r="E151" s="11" t="s">
        <v>87</v>
      </c>
      <c r="F151" s="11" t="s">
        <v>88</v>
      </c>
      <c r="G151" s="8"/>
      <c r="H151" s="7">
        <v>100</v>
      </c>
      <c r="I151" s="9" t="s">
        <v>399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x14ac:dyDescent="0.15">
      <c r="A152" s="7">
        <v>147</v>
      </c>
      <c r="B152" s="7">
        <f t="shared" si="0"/>
        <v>10010011</v>
      </c>
      <c r="C152" s="7" t="str">
        <f t="shared" si="6"/>
        <v>93</v>
      </c>
      <c r="D152" s="8" t="s">
        <v>341</v>
      </c>
      <c r="E152" s="8" t="s">
        <v>89</v>
      </c>
      <c r="F152" s="8" t="s">
        <v>90</v>
      </c>
      <c r="G152" s="8"/>
      <c r="H152" s="7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x14ac:dyDescent="0.15">
      <c r="A153" s="7">
        <v>148</v>
      </c>
      <c r="B153" s="7">
        <f t="shared" si="0"/>
        <v>10010100</v>
      </c>
      <c r="C153" s="7" t="str">
        <f t="shared" si="6"/>
        <v>94</v>
      </c>
      <c r="D153" s="8" t="s">
        <v>341</v>
      </c>
      <c r="E153" s="8"/>
      <c r="F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x14ac:dyDescent="0.15">
      <c r="A154" s="7">
        <v>149</v>
      </c>
      <c r="B154" s="7">
        <f t="shared" si="0"/>
        <v>10010101</v>
      </c>
      <c r="C154" s="7" t="str">
        <f t="shared" si="6"/>
        <v>95</v>
      </c>
      <c r="D154" s="8" t="s">
        <v>341</v>
      </c>
      <c r="E154" s="8"/>
      <c r="F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x14ac:dyDescent="0.15">
      <c r="A155" s="7">
        <v>150</v>
      </c>
      <c r="B155" s="7">
        <f t="shared" si="0"/>
        <v>10010110</v>
      </c>
      <c r="C155" s="7" t="str">
        <f t="shared" si="6"/>
        <v>96</v>
      </c>
      <c r="D155" s="8" t="s">
        <v>341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x14ac:dyDescent="0.15">
      <c r="A156" s="7">
        <v>151</v>
      </c>
      <c r="B156" s="7">
        <f t="shared" si="0"/>
        <v>10010111</v>
      </c>
      <c r="C156" s="7" t="str">
        <f t="shared" si="6"/>
        <v>97</v>
      </c>
      <c r="D156" s="8" t="s">
        <v>341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x14ac:dyDescent="0.15">
      <c r="A157" s="7">
        <v>152</v>
      </c>
      <c r="B157" s="7">
        <f t="shared" si="0"/>
        <v>10011000</v>
      </c>
      <c r="C157" s="7" t="str">
        <f t="shared" si="6"/>
        <v>98</v>
      </c>
      <c r="D157" s="8" t="s">
        <v>341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x14ac:dyDescent="0.15">
      <c r="A158" s="7">
        <v>153</v>
      </c>
      <c r="B158" s="7">
        <f t="shared" si="0"/>
        <v>10011001</v>
      </c>
      <c r="C158" s="7" t="str">
        <f t="shared" si="6"/>
        <v>99</v>
      </c>
      <c r="D158" s="8" t="s">
        <v>341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x14ac:dyDescent="0.15">
      <c r="A159" s="7">
        <v>154</v>
      </c>
      <c r="B159" s="7">
        <f t="shared" si="0"/>
        <v>10011010</v>
      </c>
      <c r="C159" s="7" t="str">
        <f>DEC2HEX(A159)</f>
        <v>9A</v>
      </c>
      <c r="D159" s="8" t="s">
        <v>341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x14ac:dyDescent="0.15">
      <c r="A160" s="7">
        <v>155</v>
      </c>
      <c r="B160" s="7">
        <f t="shared" si="0"/>
        <v>10011011</v>
      </c>
      <c r="C160" s="7" t="str">
        <f t="shared" ref="C160:C174" si="7">DEC2HEX(A160)</f>
        <v>9B</v>
      </c>
      <c r="D160" s="8" t="s">
        <v>341</v>
      </c>
      <c r="E160" s="8"/>
      <c r="F160" s="8"/>
      <c r="G160" s="8"/>
      <c r="H160" s="7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x14ac:dyDescent="0.15">
      <c r="A161" s="7">
        <v>156</v>
      </c>
      <c r="B161" s="7">
        <f t="shared" si="0"/>
        <v>10011100</v>
      </c>
      <c r="C161" s="7" t="str">
        <f t="shared" si="7"/>
        <v>9C</v>
      </c>
      <c r="D161" s="8" t="s">
        <v>341</v>
      </c>
      <c r="E161" s="8"/>
      <c r="F161" s="8"/>
      <c r="G161" s="8"/>
      <c r="H161" s="7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x14ac:dyDescent="0.15">
      <c r="A162" s="7">
        <v>157</v>
      </c>
      <c r="B162" s="7">
        <f t="shared" si="0"/>
        <v>10011101</v>
      </c>
      <c r="C162" s="7" t="str">
        <f t="shared" si="7"/>
        <v>9D</v>
      </c>
      <c r="D162" s="8" t="s">
        <v>341</v>
      </c>
      <c r="E162" s="8"/>
      <c r="F162" s="8"/>
      <c r="G162" s="8"/>
      <c r="H162" s="7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x14ac:dyDescent="0.15">
      <c r="A163" s="7">
        <v>158</v>
      </c>
      <c r="B163" s="7">
        <f t="shared" si="0"/>
        <v>10011110</v>
      </c>
      <c r="C163" s="7" t="str">
        <f t="shared" si="7"/>
        <v>9E</v>
      </c>
      <c r="D163" s="8" t="s">
        <v>341</v>
      </c>
      <c r="E163" s="8"/>
      <c r="F163" s="8"/>
      <c r="G163" s="8"/>
      <c r="H163" s="7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x14ac:dyDescent="0.15">
      <c r="A164" s="7">
        <v>159</v>
      </c>
      <c r="B164" s="7">
        <f t="shared" si="0"/>
        <v>10011111</v>
      </c>
      <c r="C164" s="7" t="str">
        <f t="shared" si="7"/>
        <v>9F</v>
      </c>
      <c r="D164" s="8" t="s">
        <v>341</v>
      </c>
      <c r="E164" s="8"/>
      <c r="F164" s="8"/>
      <c r="G164" s="8"/>
      <c r="H164" s="7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x14ac:dyDescent="0.15">
      <c r="A165" s="7">
        <v>160</v>
      </c>
      <c r="B165" s="7">
        <f t="shared" si="0"/>
        <v>10100000</v>
      </c>
      <c r="C165" s="7" t="str">
        <f t="shared" si="7"/>
        <v>A0</v>
      </c>
      <c r="D165" s="8" t="s">
        <v>341</v>
      </c>
      <c r="E165" s="9" t="s">
        <v>174</v>
      </c>
      <c r="F165" s="9" t="s">
        <v>395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x14ac:dyDescent="0.15">
      <c r="A166" s="7">
        <v>161</v>
      </c>
      <c r="B166" s="7">
        <f t="shared" si="0"/>
        <v>10100001</v>
      </c>
      <c r="C166" s="7" t="str">
        <f t="shared" si="7"/>
        <v>A1</v>
      </c>
      <c r="D166" s="8" t="s">
        <v>341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x14ac:dyDescent="0.15">
      <c r="A167" s="7">
        <v>162</v>
      </c>
      <c r="B167" s="7">
        <f t="shared" si="0"/>
        <v>10100010</v>
      </c>
      <c r="C167" s="7" t="str">
        <f t="shared" si="7"/>
        <v>A2</v>
      </c>
      <c r="D167" s="8" t="s">
        <v>341</v>
      </c>
      <c r="E167" s="8" t="s">
        <v>99</v>
      </c>
      <c r="F167" s="8" t="s">
        <v>393</v>
      </c>
      <c r="G167" s="8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x14ac:dyDescent="0.15">
      <c r="A168" s="7">
        <v>163</v>
      </c>
      <c r="B168" s="7">
        <f t="shared" si="0"/>
        <v>10100011</v>
      </c>
      <c r="C168" s="7" t="str">
        <f t="shared" si="7"/>
        <v>A3</v>
      </c>
      <c r="D168" s="8" t="s">
        <v>341</v>
      </c>
      <c r="E168" s="8"/>
      <c r="F168" s="8"/>
      <c r="G168" s="8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x14ac:dyDescent="0.15">
      <c r="A169" s="7">
        <v>164</v>
      </c>
      <c r="B169" s="7">
        <f t="shared" si="0"/>
        <v>10100100</v>
      </c>
      <c r="C169" s="7" t="str">
        <f t="shared" si="7"/>
        <v>A4</v>
      </c>
      <c r="D169" s="8" t="s">
        <v>341</v>
      </c>
      <c r="E169" s="8" t="s">
        <v>171</v>
      </c>
      <c r="F169" s="8" t="s">
        <v>394</v>
      </c>
      <c r="G169" s="8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x14ac:dyDescent="0.15">
      <c r="A170" s="7">
        <v>165</v>
      </c>
      <c r="B170" s="7">
        <f t="shared" si="0"/>
        <v>10100101</v>
      </c>
      <c r="C170" s="7" t="str">
        <f t="shared" si="7"/>
        <v>A5</v>
      </c>
      <c r="D170" s="8" t="s">
        <v>341</v>
      </c>
      <c r="E170" s="8"/>
      <c r="F170" s="8"/>
      <c r="G170" s="8"/>
      <c r="H170" s="7"/>
      <c r="I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x14ac:dyDescent="0.15">
      <c r="A171" s="7">
        <v>166</v>
      </c>
      <c r="B171" s="7">
        <f t="shared" si="0"/>
        <v>10100110</v>
      </c>
      <c r="C171" s="7" t="str">
        <f t="shared" si="7"/>
        <v>A6</v>
      </c>
      <c r="D171" s="8" t="s">
        <v>341</v>
      </c>
      <c r="E171" s="8" t="s">
        <v>338</v>
      </c>
      <c r="F171" s="8" t="s">
        <v>397</v>
      </c>
      <c r="G171" s="8"/>
      <c r="H171" s="7"/>
      <c r="I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x14ac:dyDescent="0.15">
      <c r="A172" s="7">
        <v>167</v>
      </c>
      <c r="B172" s="7">
        <f t="shared" si="0"/>
        <v>10100111</v>
      </c>
      <c r="C172" s="7" t="str">
        <f t="shared" si="7"/>
        <v>A7</v>
      </c>
      <c r="D172" s="8" t="s">
        <v>341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x14ac:dyDescent="0.15">
      <c r="A173" s="7">
        <v>168</v>
      </c>
      <c r="B173" s="7">
        <f t="shared" si="0"/>
        <v>10101000</v>
      </c>
      <c r="C173" s="7" t="str">
        <f t="shared" si="7"/>
        <v>A8</v>
      </c>
      <c r="D173" s="8" t="s">
        <v>341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x14ac:dyDescent="0.15">
      <c r="A174" s="7">
        <v>169</v>
      </c>
      <c r="B174" s="7">
        <f t="shared" si="0"/>
        <v>10101001</v>
      </c>
      <c r="C174" s="7" t="str">
        <f t="shared" si="7"/>
        <v>A9</v>
      </c>
      <c r="D174" s="8" t="s">
        <v>341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x14ac:dyDescent="0.15">
      <c r="A175" s="7">
        <v>170</v>
      </c>
      <c r="B175" s="7">
        <f t="shared" si="0"/>
        <v>10101010</v>
      </c>
      <c r="C175" s="7" t="str">
        <f>DEC2HEX(A175)</f>
        <v>AA</v>
      </c>
      <c r="D175" s="8" t="s">
        <v>341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x14ac:dyDescent="0.15">
      <c r="A176" s="7">
        <v>171</v>
      </c>
      <c r="B176" s="7">
        <f t="shared" si="0"/>
        <v>10101011</v>
      </c>
      <c r="C176" s="7" t="str">
        <f t="shared" ref="C176:C181" si="8">DEC2HEX(A176)</f>
        <v>AB</v>
      </c>
      <c r="D176" s="8" t="s">
        <v>341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15">
      <c r="A177" s="7">
        <v>172</v>
      </c>
      <c r="B177" s="7">
        <f t="shared" si="0"/>
        <v>10101100</v>
      </c>
      <c r="C177" s="7" t="str">
        <f t="shared" si="8"/>
        <v>AC</v>
      </c>
      <c r="D177" s="8" t="s">
        <v>341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15">
      <c r="A178" s="7">
        <v>173</v>
      </c>
      <c r="B178" s="7">
        <f t="shared" si="0"/>
        <v>10101101</v>
      </c>
      <c r="C178" s="7" t="str">
        <f t="shared" si="8"/>
        <v>AD</v>
      </c>
      <c r="D178" s="8" t="s">
        <v>341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15">
      <c r="A179" s="7">
        <v>174</v>
      </c>
      <c r="B179" s="7">
        <f t="shared" si="0"/>
        <v>10101110</v>
      </c>
      <c r="C179" s="7" t="str">
        <f t="shared" si="8"/>
        <v>AE</v>
      </c>
      <c r="D179" s="8" t="s">
        <v>341</v>
      </c>
      <c r="I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15">
      <c r="A180" s="7">
        <v>175</v>
      </c>
      <c r="B180" s="7">
        <f t="shared" si="0"/>
        <v>10101111</v>
      </c>
      <c r="C180" s="7" t="str">
        <f t="shared" si="8"/>
        <v>AF</v>
      </c>
      <c r="D180" s="8" t="s">
        <v>341</v>
      </c>
      <c r="I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15">
      <c r="A181" s="7">
        <v>176</v>
      </c>
      <c r="B181" s="7">
        <f t="shared" si="0"/>
        <v>10110000</v>
      </c>
      <c r="C181" s="7" t="str">
        <f t="shared" si="8"/>
        <v>B0</v>
      </c>
      <c r="D181" s="8" t="s">
        <v>341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15">
      <c r="A182" s="7">
        <v>177</v>
      </c>
      <c r="B182" s="7">
        <f t="shared" si="0"/>
        <v>10110001</v>
      </c>
      <c r="C182" s="7" t="str">
        <f t="shared" si="1"/>
        <v>B1</v>
      </c>
      <c r="D182" s="8" t="s">
        <v>341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15">
      <c r="A183" s="7">
        <v>178</v>
      </c>
      <c r="B183" s="7">
        <f t="shared" si="0"/>
        <v>10110010</v>
      </c>
      <c r="C183" s="7" t="str">
        <f t="shared" si="1"/>
        <v>B2</v>
      </c>
      <c r="D183" s="8" t="s">
        <v>341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15">
      <c r="A184" s="7">
        <v>179</v>
      </c>
      <c r="B184" s="7">
        <f t="shared" si="0"/>
        <v>10110011</v>
      </c>
      <c r="C184" s="7" t="str">
        <f t="shared" si="1"/>
        <v>B3</v>
      </c>
      <c r="D184" s="8" t="s">
        <v>341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15">
      <c r="A185" s="7">
        <v>180</v>
      </c>
      <c r="B185" s="7">
        <f t="shared" si="0"/>
        <v>10110100</v>
      </c>
      <c r="C185" s="7" t="str">
        <f t="shared" si="1"/>
        <v>B4</v>
      </c>
      <c r="D185" s="8" t="s">
        <v>341</v>
      </c>
      <c r="E185" s="8"/>
      <c r="F185" s="8"/>
      <c r="G185" s="8"/>
      <c r="H185" s="7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15">
      <c r="A186" s="7">
        <v>181</v>
      </c>
      <c r="B186" s="7">
        <f t="shared" si="0"/>
        <v>10110101</v>
      </c>
      <c r="C186" s="7" t="str">
        <f t="shared" si="1"/>
        <v>B5</v>
      </c>
      <c r="D186" s="8" t="s">
        <v>341</v>
      </c>
      <c r="E186" s="8"/>
      <c r="F186" s="8"/>
      <c r="G186" s="8"/>
      <c r="H186" s="7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15">
      <c r="A187" s="7">
        <v>182</v>
      </c>
      <c r="B187" s="7">
        <f t="shared" si="0"/>
        <v>10110110</v>
      </c>
      <c r="C187" s="7" t="str">
        <f t="shared" si="1"/>
        <v>B6</v>
      </c>
      <c r="D187" s="8" t="s">
        <v>341</v>
      </c>
      <c r="E187" s="8"/>
      <c r="F187" s="8"/>
      <c r="G187" s="8"/>
      <c r="H187" s="7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15">
      <c r="A188" s="7">
        <v>183</v>
      </c>
      <c r="B188" s="7">
        <f t="shared" si="0"/>
        <v>10110111</v>
      </c>
      <c r="C188" s="7" t="str">
        <f t="shared" si="1"/>
        <v>B7</v>
      </c>
      <c r="D188" s="8" t="s">
        <v>341</v>
      </c>
      <c r="E188" s="8"/>
      <c r="F188" s="8"/>
      <c r="G188" s="8"/>
      <c r="H188" s="7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15">
      <c r="A189" s="7">
        <v>184</v>
      </c>
      <c r="B189" s="7">
        <f t="shared" si="0"/>
        <v>10111000</v>
      </c>
      <c r="C189" s="7" t="str">
        <f t="shared" si="1"/>
        <v>B8</v>
      </c>
      <c r="D189" s="8" t="s">
        <v>341</v>
      </c>
      <c r="E189" s="8"/>
      <c r="F189" s="8"/>
      <c r="G189" s="8"/>
      <c r="H189" s="7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15">
      <c r="A190" s="7">
        <v>185</v>
      </c>
      <c r="B190" s="7">
        <f t="shared" si="0"/>
        <v>10111001</v>
      </c>
      <c r="C190" s="7" t="str">
        <f t="shared" si="1"/>
        <v>B9</v>
      </c>
      <c r="D190" s="8" t="s">
        <v>341</v>
      </c>
      <c r="E190" s="8"/>
      <c r="F190" s="8"/>
      <c r="G190" s="8"/>
      <c r="H190" s="7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15">
      <c r="A191" s="7">
        <v>186</v>
      </c>
      <c r="B191" s="7">
        <f t="shared" si="0"/>
        <v>10111010</v>
      </c>
      <c r="C191" s="7" t="str">
        <f t="shared" si="1"/>
        <v>BA</v>
      </c>
      <c r="D191" s="8" t="s">
        <v>341</v>
      </c>
      <c r="E191" s="8"/>
      <c r="F191" s="8"/>
      <c r="G191" s="8"/>
      <c r="H191" s="7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15">
      <c r="A192" s="7">
        <v>187</v>
      </c>
      <c r="B192" s="7">
        <f t="shared" si="0"/>
        <v>10111011</v>
      </c>
      <c r="C192" s="7" t="str">
        <f t="shared" si="1"/>
        <v>BB</v>
      </c>
      <c r="D192" s="8" t="s">
        <v>341</v>
      </c>
      <c r="E192" s="8"/>
      <c r="F192" s="8"/>
      <c r="G192" s="8"/>
      <c r="H192" s="7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15">
      <c r="A193" s="7">
        <v>188</v>
      </c>
      <c r="B193" s="7">
        <f t="shared" si="0"/>
        <v>10111100</v>
      </c>
      <c r="C193" s="7" t="str">
        <f t="shared" si="1"/>
        <v>BC</v>
      </c>
      <c r="D193" s="8" t="s">
        <v>341</v>
      </c>
      <c r="E193" s="8"/>
      <c r="F193" s="8"/>
      <c r="G193" s="8"/>
      <c r="H193" s="7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15">
      <c r="A194" s="7">
        <v>189</v>
      </c>
      <c r="B194" s="7">
        <f t="shared" si="0"/>
        <v>10111101</v>
      </c>
      <c r="C194" s="7" t="str">
        <f t="shared" si="1"/>
        <v>BD</v>
      </c>
      <c r="D194" s="8" t="s">
        <v>341</v>
      </c>
      <c r="E194" s="8"/>
      <c r="F194" s="8"/>
      <c r="G194" s="8"/>
      <c r="H194" s="7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15">
      <c r="A195" s="7">
        <v>190</v>
      </c>
      <c r="B195" s="7">
        <f t="shared" si="0"/>
        <v>10111110</v>
      </c>
      <c r="C195" s="7" t="str">
        <f t="shared" si="1"/>
        <v>BE</v>
      </c>
      <c r="D195" s="8" t="s">
        <v>341</v>
      </c>
      <c r="E195" s="8"/>
      <c r="F195" s="8"/>
      <c r="G195" s="8"/>
      <c r="H195" s="7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x14ac:dyDescent="0.15">
      <c r="A196" s="7">
        <v>191</v>
      </c>
      <c r="B196" s="7">
        <f t="shared" si="0"/>
        <v>10111111</v>
      </c>
      <c r="C196" s="7" t="str">
        <f t="shared" si="1"/>
        <v>BF</v>
      </c>
      <c r="D196" s="8" t="s">
        <v>341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x14ac:dyDescent="0.15">
      <c r="A197" s="7">
        <v>192</v>
      </c>
      <c r="B197" s="7">
        <f t="shared" si="0"/>
        <v>11000000</v>
      </c>
      <c r="C197" s="7" t="str">
        <f t="shared" si="1"/>
        <v>C0</v>
      </c>
      <c r="D197" s="8" t="s">
        <v>307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x14ac:dyDescent="0.15">
      <c r="A198" s="7">
        <v>193</v>
      </c>
      <c r="B198" s="7">
        <f t="shared" si="0"/>
        <v>11000001</v>
      </c>
      <c r="C198" s="7" t="str">
        <f t="shared" si="1"/>
        <v>C1</v>
      </c>
      <c r="D198" s="8" t="s">
        <v>307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x14ac:dyDescent="0.15">
      <c r="A199" s="7">
        <v>194</v>
      </c>
      <c r="B199" s="7">
        <f t="shared" si="0"/>
        <v>11000010</v>
      </c>
      <c r="C199" s="7" t="str">
        <f t="shared" si="1"/>
        <v>C2</v>
      </c>
      <c r="D199" s="8" t="s">
        <v>307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x14ac:dyDescent="0.15">
      <c r="A200" s="7">
        <v>195</v>
      </c>
      <c r="B200" s="7">
        <f t="shared" si="0"/>
        <v>11000011</v>
      </c>
      <c r="C200" s="7" t="str">
        <f t="shared" si="1"/>
        <v>C3</v>
      </c>
      <c r="D200" s="8" t="s">
        <v>307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x14ac:dyDescent="0.15">
      <c r="A201" s="7">
        <v>196</v>
      </c>
      <c r="B201" s="7">
        <f t="shared" si="0"/>
        <v>11000100</v>
      </c>
      <c r="C201" s="7" t="str">
        <f t="shared" si="1"/>
        <v>C4</v>
      </c>
      <c r="D201" s="8" t="s">
        <v>138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x14ac:dyDescent="0.15">
      <c r="A202" s="7">
        <v>197</v>
      </c>
      <c r="B202" s="7">
        <f t="shared" si="0"/>
        <v>11000101</v>
      </c>
      <c r="C202" s="7" t="str">
        <f t="shared" si="1"/>
        <v>C5</v>
      </c>
      <c r="D202" s="8" t="s">
        <v>138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x14ac:dyDescent="0.15">
      <c r="A203" s="7">
        <v>198</v>
      </c>
      <c r="B203" s="7">
        <f t="shared" si="0"/>
        <v>11000110</v>
      </c>
      <c r="C203" s="7" t="str">
        <f t="shared" si="1"/>
        <v>C6</v>
      </c>
      <c r="D203" s="8" t="s">
        <v>138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x14ac:dyDescent="0.15">
      <c r="A204" s="7">
        <v>199</v>
      </c>
      <c r="B204" s="7">
        <f t="shared" si="0"/>
        <v>11000111</v>
      </c>
      <c r="C204" s="7" t="str">
        <f t="shared" si="1"/>
        <v>C7</v>
      </c>
      <c r="D204" s="8" t="s">
        <v>138</v>
      </c>
      <c r="E204" s="8"/>
      <c r="F204" s="8"/>
      <c r="G204" s="8"/>
      <c r="H204" s="7"/>
      <c r="I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x14ac:dyDescent="0.15">
      <c r="A205" s="7">
        <v>200</v>
      </c>
      <c r="B205" s="7">
        <f t="shared" si="0"/>
        <v>11001000</v>
      </c>
      <c r="C205" s="7" t="str">
        <f t="shared" si="1"/>
        <v>C8</v>
      </c>
      <c r="D205" s="8" t="s">
        <v>138</v>
      </c>
      <c r="E205" s="8"/>
      <c r="F205" s="8"/>
      <c r="G205" s="8"/>
      <c r="H205" s="7"/>
      <c r="I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x14ac:dyDescent="0.15">
      <c r="A206" s="7">
        <v>201</v>
      </c>
      <c r="B206" s="7">
        <f t="shared" si="0"/>
        <v>11001001</v>
      </c>
      <c r="C206" s="7" t="str">
        <f t="shared" si="1"/>
        <v>C9</v>
      </c>
      <c r="D206" s="8" t="s">
        <v>138</v>
      </c>
      <c r="I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x14ac:dyDescent="0.15">
      <c r="A207" s="7">
        <v>202</v>
      </c>
      <c r="B207" s="7">
        <f t="shared" si="0"/>
        <v>11001010</v>
      </c>
      <c r="C207" s="7" t="str">
        <f t="shared" si="1"/>
        <v>CA</v>
      </c>
      <c r="D207" s="8" t="s">
        <v>138</v>
      </c>
      <c r="I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x14ac:dyDescent="0.15">
      <c r="A208" s="7">
        <v>203</v>
      </c>
      <c r="B208" s="7">
        <f t="shared" si="0"/>
        <v>11001011</v>
      </c>
      <c r="C208" s="7" t="str">
        <f t="shared" si="1"/>
        <v>CB</v>
      </c>
      <c r="D208" s="8" t="s">
        <v>138</v>
      </c>
      <c r="E208" s="8"/>
      <c r="F208" s="8"/>
      <c r="G208" s="8"/>
      <c r="H208" s="7"/>
      <c r="I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x14ac:dyDescent="0.15">
      <c r="A209" s="7">
        <v>204</v>
      </c>
      <c r="B209" s="7">
        <f t="shared" si="0"/>
        <v>11001100</v>
      </c>
      <c r="C209" s="7" t="str">
        <f t="shared" si="1"/>
        <v>CC</v>
      </c>
      <c r="D209" s="8" t="s">
        <v>138</v>
      </c>
      <c r="E209" s="8"/>
      <c r="F209" s="8"/>
      <c r="G209" s="8"/>
      <c r="H209" s="7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x14ac:dyDescent="0.15">
      <c r="A210" s="7">
        <v>205</v>
      </c>
      <c r="B210" s="7">
        <f t="shared" si="0"/>
        <v>11001101</v>
      </c>
      <c r="C210" s="7" t="str">
        <f t="shared" si="1"/>
        <v>CD</v>
      </c>
      <c r="D210" s="8" t="s">
        <v>138</v>
      </c>
      <c r="E210" s="8"/>
      <c r="F210" s="8"/>
      <c r="G210" s="8"/>
      <c r="H210" s="7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x14ac:dyDescent="0.15">
      <c r="A211" s="7">
        <v>206</v>
      </c>
      <c r="B211" s="7">
        <f t="shared" si="0"/>
        <v>11001110</v>
      </c>
      <c r="C211" s="7" t="str">
        <f t="shared" si="1"/>
        <v>CE</v>
      </c>
      <c r="D211" s="8" t="s">
        <v>138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x14ac:dyDescent="0.15">
      <c r="A212" s="7">
        <v>207</v>
      </c>
      <c r="B212" s="7">
        <f t="shared" si="0"/>
        <v>11001111</v>
      </c>
      <c r="C212" s="7" t="str">
        <f t="shared" si="1"/>
        <v>CF</v>
      </c>
      <c r="D212" s="8" t="s">
        <v>138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x14ac:dyDescent="0.15">
      <c r="A213" s="7">
        <v>208</v>
      </c>
      <c r="B213" s="7">
        <f t="shared" si="0"/>
        <v>11010000</v>
      </c>
      <c r="C213" s="7" t="str">
        <f t="shared" si="1"/>
        <v>D0</v>
      </c>
      <c r="D213" s="8" t="s">
        <v>138</v>
      </c>
      <c r="E213" s="8" t="s">
        <v>177</v>
      </c>
      <c r="F213" s="8" t="s">
        <v>101</v>
      </c>
      <c r="G213" s="8" t="s">
        <v>392</v>
      </c>
      <c r="H213" s="7">
        <v>100</v>
      </c>
      <c r="I213" s="9" t="s">
        <v>399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x14ac:dyDescent="0.15">
      <c r="A214" s="7">
        <v>209</v>
      </c>
      <c r="B214" s="7">
        <f t="shared" si="0"/>
        <v>11010001</v>
      </c>
      <c r="C214" s="7" t="str">
        <f t="shared" si="1"/>
        <v>D1</v>
      </c>
      <c r="D214" s="8" t="s">
        <v>138</v>
      </c>
      <c r="E214" s="8" t="s">
        <v>388</v>
      </c>
      <c r="F214" s="8"/>
      <c r="G214" s="8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x14ac:dyDescent="0.15">
      <c r="A215" s="7">
        <v>210</v>
      </c>
      <c r="B215" s="7">
        <f t="shared" si="0"/>
        <v>11010010</v>
      </c>
      <c r="C215" s="7" t="str">
        <f t="shared" si="1"/>
        <v>D2</v>
      </c>
      <c r="D215" s="8" t="s">
        <v>138</v>
      </c>
      <c r="E215" s="8" t="s">
        <v>180</v>
      </c>
      <c r="F215" s="8" t="s">
        <v>104</v>
      </c>
      <c r="G215" s="8"/>
      <c r="H215" s="7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x14ac:dyDescent="0.15">
      <c r="A216" s="7">
        <v>211</v>
      </c>
      <c r="B216" s="7">
        <f t="shared" si="0"/>
        <v>11010011</v>
      </c>
      <c r="C216" s="7" t="str">
        <f t="shared" si="1"/>
        <v>D3</v>
      </c>
      <c r="D216" s="8" t="s">
        <v>138</v>
      </c>
      <c r="E216" s="8"/>
      <c r="F216" s="8"/>
      <c r="G216" s="8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x14ac:dyDescent="0.15">
      <c r="A217" s="7">
        <v>212</v>
      </c>
      <c r="B217" s="7">
        <f t="shared" si="0"/>
        <v>11010100</v>
      </c>
      <c r="C217" s="7" t="str">
        <f t="shared" si="1"/>
        <v>D4</v>
      </c>
      <c r="D217" s="8" t="s">
        <v>138</v>
      </c>
      <c r="E217" s="8" t="s">
        <v>182</v>
      </c>
      <c r="F217" s="8" t="s">
        <v>106</v>
      </c>
      <c r="G217" s="8"/>
      <c r="H217" s="7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x14ac:dyDescent="0.15">
      <c r="A218" s="7">
        <v>213</v>
      </c>
      <c r="B218" s="7">
        <f t="shared" si="0"/>
        <v>11010101</v>
      </c>
      <c r="C218" s="7" t="str">
        <f t="shared" si="1"/>
        <v>D5</v>
      </c>
      <c r="D218" s="8" t="s">
        <v>138</v>
      </c>
      <c r="E218" s="8"/>
      <c r="F218" s="8"/>
      <c r="G218" s="8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x14ac:dyDescent="0.15">
      <c r="A219" s="7">
        <v>214</v>
      </c>
      <c r="B219" s="7">
        <f t="shared" si="0"/>
        <v>11010110</v>
      </c>
      <c r="C219" s="7" t="str">
        <f t="shared" si="1"/>
        <v>D6</v>
      </c>
      <c r="D219" s="8" t="s">
        <v>138</v>
      </c>
      <c r="E219" s="8" t="s">
        <v>184</v>
      </c>
      <c r="F219" s="8" t="s">
        <v>108</v>
      </c>
      <c r="G219" s="8"/>
      <c r="H219" s="7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x14ac:dyDescent="0.15">
      <c r="A220" s="7">
        <v>215</v>
      </c>
      <c r="B220" s="7">
        <f t="shared" si="0"/>
        <v>11010111</v>
      </c>
      <c r="C220" s="7" t="str">
        <f t="shared" si="1"/>
        <v>D7</v>
      </c>
      <c r="D220" s="8" t="s">
        <v>138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x14ac:dyDescent="0.15">
      <c r="A221" s="7">
        <v>216</v>
      </c>
      <c r="B221" s="7">
        <f t="shared" si="0"/>
        <v>11011000</v>
      </c>
      <c r="C221" s="7" t="str">
        <f t="shared" si="1"/>
        <v>D8</v>
      </c>
      <c r="D221" s="8" t="s">
        <v>138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x14ac:dyDescent="0.15">
      <c r="A222" s="7">
        <v>217</v>
      </c>
      <c r="B222" s="7">
        <f t="shared" si="0"/>
        <v>11011001</v>
      </c>
      <c r="C222" s="7" t="str">
        <f t="shared" si="1"/>
        <v>D9</v>
      </c>
      <c r="D222" s="8" t="s">
        <v>138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x14ac:dyDescent="0.15">
      <c r="A223" s="7">
        <v>218</v>
      </c>
      <c r="B223" s="7">
        <f t="shared" si="0"/>
        <v>11011010</v>
      </c>
      <c r="C223" s="7" t="str">
        <f t="shared" si="1"/>
        <v>DA</v>
      </c>
      <c r="D223" s="8" t="s">
        <v>138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x14ac:dyDescent="0.15">
      <c r="A224" s="7">
        <v>219</v>
      </c>
      <c r="B224" s="7">
        <f t="shared" si="0"/>
        <v>11011011</v>
      </c>
      <c r="C224" s="7" t="str">
        <f t="shared" si="1"/>
        <v>DB</v>
      </c>
      <c r="D224" s="8" t="s">
        <v>138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x14ac:dyDescent="0.15">
      <c r="A225" s="7">
        <v>220</v>
      </c>
      <c r="B225" s="7">
        <f t="shared" si="0"/>
        <v>11011100</v>
      </c>
      <c r="C225" s="7" t="str">
        <f t="shared" si="1"/>
        <v>DC</v>
      </c>
      <c r="D225" s="8" t="s">
        <v>138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x14ac:dyDescent="0.15">
      <c r="A226" s="7">
        <v>221</v>
      </c>
      <c r="B226" s="7">
        <f t="shared" si="0"/>
        <v>11011101</v>
      </c>
      <c r="C226" s="7" t="str">
        <f t="shared" si="1"/>
        <v>DD</v>
      </c>
      <c r="D226" s="8" t="s">
        <v>138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x14ac:dyDescent="0.15">
      <c r="A227" s="7">
        <v>222</v>
      </c>
      <c r="B227" s="7">
        <f t="shared" si="0"/>
        <v>11011110</v>
      </c>
      <c r="C227" s="7" t="str">
        <f t="shared" si="1"/>
        <v>DE</v>
      </c>
      <c r="D227" s="8" t="s">
        <v>138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x14ac:dyDescent="0.15">
      <c r="A228" s="7">
        <v>223</v>
      </c>
      <c r="B228" s="7">
        <f t="shared" si="0"/>
        <v>11011111</v>
      </c>
      <c r="C228" s="7" t="str">
        <f t="shared" si="1"/>
        <v>DF</v>
      </c>
      <c r="D228" s="8" t="s">
        <v>138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x14ac:dyDescent="0.15">
      <c r="A229" s="7">
        <v>224</v>
      </c>
      <c r="B229" s="7">
        <f t="shared" si="0"/>
        <v>11100000</v>
      </c>
      <c r="C229" s="7" t="str">
        <f t="shared" si="1"/>
        <v>E0</v>
      </c>
      <c r="D229" s="8" t="s">
        <v>138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x14ac:dyDescent="0.15">
      <c r="A230" s="7">
        <v>225</v>
      </c>
      <c r="B230" s="7">
        <f t="shared" si="0"/>
        <v>11100001</v>
      </c>
      <c r="C230" s="7" t="str">
        <f t="shared" si="1"/>
        <v>E1</v>
      </c>
      <c r="D230" s="8" t="s">
        <v>138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x14ac:dyDescent="0.15">
      <c r="A231" s="7">
        <v>226</v>
      </c>
      <c r="B231" s="7">
        <f t="shared" si="0"/>
        <v>11100010</v>
      </c>
      <c r="C231" s="7" t="str">
        <f t="shared" si="1"/>
        <v>E2</v>
      </c>
      <c r="D231" s="8" t="s">
        <v>138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x14ac:dyDescent="0.15">
      <c r="A232" s="7">
        <v>227</v>
      </c>
      <c r="B232" s="7">
        <f t="shared" si="0"/>
        <v>11100011</v>
      </c>
      <c r="C232" s="7" t="str">
        <f t="shared" si="1"/>
        <v>E3</v>
      </c>
      <c r="D232" s="8" t="s">
        <v>138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x14ac:dyDescent="0.15">
      <c r="A233" s="7">
        <v>228</v>
      </c>
      <c r="B233" s="7">
        <f t="shared" si="0"/>
        <v>11100100</v>
      </c>
      <c r="C233" s="7" t="str">
        <f t="shared" si="1"/>
        <v>E4</v>
      </c>
      <c r="D233" s="8" t="s">
        <v>138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x14ac:dyDescent="0.15">
      <c r="A234" s="7">
        <v>229</v>
      </c>
      <c r="B234" s="7">
        <f t="shared" ref="B234:B260" si="9">DEC2BIN(A234/512)*1000000000+DEC2BIN(MOD(A234,512))</f>
        <v>11100101</v>
      </c>
      <c r="C234" s="7" t="str">
        <f t="shared" ref="C234:C260" si="10">DEC2HEX(A234)</f>
        <v>E5</v>
      </c>
      <c r="D234" s="8" t="s">
        <v>138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x14ac:dyDescent="0.15">
      <c r="A235" s="7">
        <v>230</v>
      </c>
      <c r="B235" s="7">
        <f t="shared" si="9"/>
        <v>11100110</v>
      </c>
      <c r="C235" s="7" t="str">
        <f t="shared" si="10"/>
        <v>E6</v>
      </c>
      <c r="D235" s="8" t="s">
        <v>138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x14ac:dyDescent="0.15">
      <c r="A236" s="7">
        <v>231</v>
      </c>
      <c r="B236" s="7">
        <f t="shared" si="9"/>
        <v>11100111</v>
      </c>
      <c r="C236" s="7" t="str">
        <f t="shared" si="10"/>
        <v>E7</v>
      </c>
      <c r="D236" s="8" t="s">
        <v>138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x14ac:dyDescent="0.15">
      <c r="A237" s="7">
        <v>232</v>
      </c>
      <c r="B237" s="7">
        <f t="shared" si="9"/>
        <v>11101000</v>
      </c>
      <c r="C237" s="7" t="str">
        <f t="shared" si="10"/>
        <v>E8</v>
      </c>
      <c r="D237" s="8" t="s">
        <v>138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x14ac:dyDescent="0.15">
      <c r="A238" s="7">
        <v>233</v>
      </c>
      <c r="B238" s="7">
        <f t="shared" si="9"/>
        <v>11101001</v>
      </c>
      <c r="C238" s="7" t="str">
        <f t="shared" si="10"/>
        <v>E9</v>
      </c>
      <c r="D238" s="8" t="s">
        <v>138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x14ac:dyDescent="0.15">
      <c r="A239" s="7">
        <v>234</v>
      </c>
      <c r="B239" s="7">
        <f t="shared" si="9"/>
        <v>11101010</v>
      </c>
      <c r="C239" s="7" t="str">
        <f t="shared" si="10"/>
        <v>EA</v>
      </c>
      <c r="D239" s="8" t="s">
        <v>138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x14ac:dyDescent="0.15">
      <c r="A240" s="7">
        <v>235</v>
      </c>
      <c r="B240" s="7">
        <f t="shared" si="9"/>
        <v>11101011</v>
      </c>
      <c r="C240" s="7" t="str">
        <f t="shared" si="10"/>
        <v>EB</v>
      </c>
      <c r="D240" s="8" t="s">
        <v>138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x14ac:dyDescent="0.15">
      <c r="A241" s="7">
        <v>236</v>
      </c>
      <c r="B241" s="7">
        <f t="shared" si="9"/>
        <v>11101100</v>
      </c>
      <c r="C241" s="7" t="str">
        <f t="shared" si="10"/>
        <v>EC</v>
      </c>
      <c r="D241" s="8" t="s">
        <v>138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x14ac:dyDescent="0.15">
      <c r="A242" s="7">
        <v>237</v>
      </c>
      <c r="B242" s="7">
        <f t="shared" si="9"/>
        <v>11101101</v>
      </c>
      <c r="C242" s="7" t="str">
        <f t="shared" si="10"/>
        <v>ED</v>
      </c>
      <c r="D242" s="8" t="s">
        <v>138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1" x14ac:dyDescent="0.15">
      <c r="A243" s="7">
        <v>238</v>
      </c>
      <c r="B243" s="7">
        <f t="shared" si="9"/>
        <v>11101110</v>
      </c>
      <c r="C243" s="7" t="str">
        <f t="shared" si="10"/>
        <v>EE</v>
      </c>
      <c r="D243" s="8" t="s">
        <v>138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x14ac:dyDescent="0.15">
      <c r="A244" s="7">
        <v>239</v>
      </c>
      <c r="B244" s="7">
        <f t="shared" si="9"/>
        <v>11101111</v>
      </c>
      <c r="C244" s="7" t="str">
        <f t="shared" si="10"/>
        <v>EF</v>
      </c>
      <c r="D244" s="8" t="s">
        <v>138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x14ac:dyDescent="0.15">
      <c r="A245" s="7">
        <v>240</v>
      </c>
      <c r="B245" s="7">
        <f t="shared" si="9"/>
        <v>11110000</v>
      </c>
      <c r="C245" s="7" t="str">
        <f t="shared" si="10"/>
        <v>F0</v>
      </c>
      <c r="D245" s="8" t="s">
        <v>138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x14ac:dyDescent="0.15">
      <c r="A246" s="7">
        <v>241</v>
      </c>
      <c r="B246" s="7">
        <f t="shared" si="9"/>
        <v>11110001</v>
      </c>
      <c r="C246" s="7" t="str">
        <f t="shared" si="10"/>
        <v>F1</v>
      </c>
      <c r="D246" s="8" t="s">
        <v>138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x14ac:dyDescent="0.15">
      <c r="A247" s="7">
        <v>242</v>
      </c>
      <c r="B247" s="7">
        <f t="shared" si="9"/>
        <v>11110010</v>
      </c>
      <c r="C247" s="7" t="str">
        <f t="shared" si="10"/>
        <v>F2</v>
      </c>
      <c r="D247" s="8" t="s">
        <v>138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x14ac:dyDescent="0.15">
      <c r="A248" s="7">
        <v>243</v>
      </c>
      <c r="B248" s="7">
        <f t="shared" si="9"/>
        <v>11110011</v>
      </c>
      <c r="C248" s="7" t="str">
        <f t="shared" si="10"/>
        <v>F3</v>
      </c>
      <c r="D248" s="8" t="s">
        <v>138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x14ac:dyDescent="0.15">
      <c r="A249" s="7">
        <v>244</v>
      </c>
      <c r="B249" s="7">
        <f t="shared" si="9"/>
        <v>11110100</v>
      </c>
      <c r="C249" s="7" t="str">
        <f t="shared" si="10"/>
        <v>F4</v>
      </c>
      <c r="D249" s="8" t="s">
        <v>138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x14ac:dyDescent="0.15">
      <c r="A250" s="7">
        <v>245</v>
      </c>
      <c r="B250" s="7">
        <f t="shared" si="9"/>
        <v>11110101</v>
      </c>
      <c r="C250" s="7" t="str">
        <f t="shared" si="10"/>
        <v>F5</v>
      </c>
      <c r="D250" s="8" t="s">
        <v>138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x14ac:dyDescent="0.15">
      <c r="A251" s="7">
        <v>246</v>
      </c>
      <c r="B251" s="7">
        <f t="shared" si="9"/>
        <v>11110110</v>
      </c>
      <c r="C251" s="7" t="str">
        <f t="shared" si="10"/>
        <v>F6</v>
      </c>
      <c r="D251" s="8" t="s">
        <v>138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x14ac:dyDescent="0.15">
      <c r="A252" s="7">
        <v>247</v>
      </c>
      <c r="B252" s="7">
        <f t="shared" si="9"/>
        <v>11110111</v>
      </c>
      <c r="C252" s="7" t="str">
        <f t="shared" si="10"/>
        <v>F7</v>
      </c>
      <c r="D252" s="8" t="s">
        <v>138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spans="1:31" x14ac:dyDescent="0.15">
      <c r="A253" s="7">
        <v>248</v>
      </c>
      <c r="B253" s="7">
        <f t="shared" si="9"/>
        <v>11111000</v>
      </c>
      <c r="C253" s="7" t="str">
        <f t="shared" si="10"/>
        <v>F8</v>
      </c>
      <c r="D253" s="8" t="s">
        <v>138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x14ac:dyDescent="0.15">
      <c r="A254" s="7">
        <v>249</v>
      </c>
      <c r="B254" s="7">
        <f t="shared" si="9"/>
        <v>11111001</v>
      </c>
      <c r="C254" s="7" t="str">
        <f t="shared" si="10"/>
        <v>F9</v>
      </c>
      <c r="D254" s="8" t="s">
        <v>138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x14ac:dyDescent="0.15">
      <c r="A255" s="7">
        <v>250</v>
      </c>
      <c r="B255" s="7">
        <f t="shared" si="9"/>
        <v>11111010</v>
      </c>
      <c r="C255" s="7" t="str">
        <f t="shared" si="10"/>
        <v>FA</v>
      </c>
      <c r="D255" s="8" t="s">
        <v>138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x14ac:dyDescent="0.15">
      <c r="A256" s="7">
        <v>251</v>
      </c>
      <c r="B256" s="7">
        <f t="shared" si="9"/>
        <v>11111011</v>
      </c>
      <c r="C256" s="7" t="str">
        <f t="shared" si="10"/>
        <v>FB</v>
      </c>
      <c r="D256" s="8" t="s">
        <v>138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 x14ac:dyDescent="0.15">
      <c r="A257" s="7">
        <v>252</v>
      </c>
      <c r="B257" s="7">
        <f t="shared" si="9"/>
        <v>11111100</v>
      </c>
      <c r="C257" s="7" t="str">
        <f t="shared" si="10"/>
        <v>FC</v>
      </c>
      <c r="D257" s="8" t="s">
        <v>138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 x14ac:dyDescent="0.15">
      <c r="A258" s="7">
        <v>253</v>
      </c>
      <c r="B258" s="7">
        <f t="shared" si="9"/>
        <v>11111101</v>
      </c>
      <c r="C258" s="7" t="str">
        <f t="shared" si="10"/>
        <v>FD</v>
      </c>
      <c r="D258" s="8" t="s">
        <v>138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x14ac:dyDescent="0.15">
      <c r="A259" s="7">
        <v>254</v>
      </c>
      <c r="B259" s="7">
        <f t="shared" si="9"/>
        <v>11111110</v>
      </c>
      <c r="C259" s="7" t="str">
        <f t="shared" si="10"/>
        <v>FE</v>
      </c>
      <c r="D259" s="8" t="s">
        <v>138</v>
      </c>
      <c r="E259" s="8"/>
      <c r="F259" s="8"/>
      <c r="G259" s="8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x14ac:dyDescent="0.15">
      <c r="A260" s="7">
        <v>255</v>
      </c>
      <c r="B260" s="7">
        <f t="shared" si="9"/>
        <v>11111111</v>
      </c>
      <c r="C260" s="7" t="str">
        <f t="shared" si="10"/>
        <v>FF</v>
      </c>
      <c r="D260" s="8" t="s">
        <v>138</v>
      </c>
      <c r="E260" s="8"/>
      <c r="F260" s="8"/>
      <c r="G260" s="8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 x14ac:dyDescent="0.15">
      <c r="A261" s="7"/>
      <c r="B261" s="7"/>
      <c r="C261" s="7"/>
      <c r="D261" s="8"/>
      <c r="E261" s="8"/>
      <c r="F261" s="8"/>
      <c r="G261" s="8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x14ac:dyDescent="0.15">
      <c r="A262" s="7"/>
      <c r="B262" s="7"/>
      <c r="C262" s="7"/>
      <c r="D262" s="8"/>
      <c r="E262" s="8"/>
      <c r="F262" s="8"/>
      <c r="G262" s="8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spans="1:31" x14ac:dyDescent="0.15">
      <c r="A263" s="7"/>
      <c r="B263" s="7"/>
      <c r="C263" s="7"/>
      <c r="D263" s="8"/>
      <c r="E263" s="8"/>
      <c r="F263" s="8"/>
      <c r="G263" s="8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x14ac:dyDescent="0.15">
      <c r="A264" s="7"/>
      <c r="B264" s="7"/>
      <c r="C264" s="7"/>
      <c r="D264" s="8"/>
      <c r="E264" s="8"/>
      <c r="F264" s="8"/>
      <c r="G264" s="8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 x14ac:dyDescent="0.15">
      <c r="A265" s="7"/>
      <c r="B265" s="7"/>
      <c r="C265" s="7"/>
      <c r="D265" s="8"/>
      <c r="E265" s="8"/>
      <c r="F265" s="8"/>
      <c r="G265" s="8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x14ac:dyDescent="0.15">
      <c r="A266" s="7"/>
      <c r="B266" s="7"/>
      <c r="C266" s="7"/>
      <c r="D266" s="8"/>
      <c r="E266" s="8"/>
      <c r="F266" s="8"/>
      <c r="G266" s="8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spans="1:31" x14ac:dyDescent="0.15">
      <c r="A267" s="7"/>
      <c r="B267" s="7"/>
      <c r="C267" s="7"/>
      <c r="D267" s="8"/>
      <c r="E267" s="8"/>
      <c r="F267" s="8"/>
      <c r="G267" s="8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spans="1:31" x14ac:dyDescent="0.15">
      <c r="A268" s="7"/>
      <c r="B268" s="7"/>
      <c r="C268" s="7"/>
      <c r="D268" s="8"/>
      <c r="E268" s="8"/>
      <c r="F268" s="8"/>
      <c r="G268" s="8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spans="1:31" x14ac:dyDescent="0.15">
      <c r="A269" s="7"/>
      <c r="B269" s="7"/>
      <c r="C269" s="7"/>
      <c r="D269" s="8"/>
      <c r="E269" s="8"/>
      <c r="F269" s="8"/>
      <c r="G269" s="8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spans="1:31" x14ac:dyDescent="0.15">
      <c r="A270" s="7"/>
      <c r="B270" s="7"/>
      <c r="C270" s="7"/>
      <c r="D270" s="8"/>
      <c r="E270" s="8"/>
      <c r="F270" s="8"/>
      <c r="G270" s="8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spans="1:31" x14ac:dyDescent="0.15">
      <c r="A271" s="7"/>
      <c r="B271" s="7"/>
      <c r="C271" s="7"/>
      <c r="D271" s="8"/>
      <c r="E271" s="8"/>
      <c r="F271" s="8"/>
      <c r="G271" s="8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spans="1:31" x14ac:dyDescent="0.15">
      <c r="A272" s="7"/>
      <c r="B272" s="7"/>
      <c r="C272" s="7"/>
      <c r="D272" s="8"/>
      <c r="E272" s="8"/>
      <c r="F272" s="8"/>
      <c r="G272" s="8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spans="1:31" x14ac:dyDescent="0.15">
      <c r="A273" s="7"/>
      <c r="B273" s="7"/>
      <c r="C273" s="7"/>
      <c r="D273" s="8"/>
      <c r="E273" s="8"/>
      <c r="F273" s="8"/>
      <c r="G273" s="8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spans="1:31" x14ac:dyDescent="0.15">
      <c r="A274" s="7"/>
      <c r="B274" s="7"/>
      <c r="C274" s="7"/>
      <c r="D274" s="8"/>
      <c r="E274" s="8"/>
      <c r="F274" s="8"/>
      <c r="G274" s="8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spans="1:31" x14ac:dyDescent="0.15">
      <c r="A275" s="7"/>
      <c r="B275" s="7"/>
      <c r="C275" s="7"/>
      <c r="D275" s="8"/>
      <c r="E275" s="8"/>
      <c r="F275" s="8"/>
      <c r="G275" s="8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spans="1:31" x14ac:dyDescent="0.15">
      <c r="A276" s="7"/>
      <c r="B276" s="7"/>
      <c r="C276" s="7"/>
      <c r="D276" s="8"/>
      <c r="E276" s="8"/>
      <c r="F276" s="8"/>
      <c r="G276" s="8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spans="1:31" x14ac:dyDescent="0.15">
      <c r="A277" s="7"/>
      <c r="B277" s="7"/>
      <c r="C277" s="7"/>
      <c r="D277" s="8"/>
      <c r="E277" s="8"/>
      <c r="F277" s="8"/>
      <c r="G277" s="8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spans="1:31" x14ac:dyDescent="0.15">
      <c r="A278" s="7"/>
      <c r="B278" s="7"/>
      <c r="C278" s="7"/>
      <c r="D278" s="8"/>
      <c r="E278" s="8"/>
      <c r="F278" s="8"/>
      <c r="G278" s="8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spans="1:31" x14ac:dyDescent="0.15">
      <c r="A279" s="7"/>
      <c r="B279" s="7"/>
      <c r="C279" s="7"/>
      <c r="D279" s="8"/>
      <c r="E279" s="8"/>
      <c r="F279" s="8"/>
      <c r="G279" s="8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spans="1:31" x14ac:dyDescent="0.15">
      <c r="A280" s="7"/>
      <c r="B280" s="7"/>
      <c r="C280" s="7"/>
      <c r="D280" s="8"/>
      <c r="E280" s="8"/>
      <c r="F280" s="8"/>
      <c r="G280" s="8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spans="1:31" x14ac:dyDescent="0.15">
      <c r="A281" s="7"/>
      <c r="B281" s="7"/>
      <c r="C281" s="7"/>
      <c r="D281" s="8"/>
      <c r="E281" s="8"/>
      <c r="F281" s="8"/>
      <c r="G281" s="8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spans="1:31" x14ac:dyDescent="0.15">
      <c r="A282" s="8"/>
      <c r="B282" s="8"/>
      <c r="C282" s="8"/>
      <c r="D282" s="8"/>
      <c r="E282" s="8"/>
      <c r="F282" s="8"/>
      <c r="G282" s="8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spans="1:31" x14ac:dyDescent="0.15">
      <c r="A283" s="8"/>
      <c r="B283" s="8"/>
      <c r="C283" s="8"/>
      <c r="D283" s="8"/>
      <c r="E283" s="8"/>
      <c r="F283" s="8"/>
      <c r="G283" s="8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spans="1:31" x14ac:dyDescent="0.15">
      <c r="A284" s="8"/>
      <c r="B284" s="8"/>
      <c r="C284" s="8"/>
      <c r="D284" s="8"/>
      <c r="E284" s="8"/>
      <c r="F284" s="8"/>
      <c r="G284" s="8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spans="1:31" x14ac:dyDescent="0.15">
      <c r="A285" s="8"/>
      <c r="B285" s="8"/>
      <c r="C285" s="8"/>
      <c r="D285" s="8"/>
      <c r="E285" s="8"/>
      <c r="F285" s="8"/>
      <c r="G285" s="8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spans="1:31" x14ac:dyDescent="0.15">
      <c r="A286" s="7"/>
      <c r="B286" s="7"/>
      <c r="C286" s="7"/>
      <c r="D286" s="8"/>
      <c r="E286" s="8"/>
      <c r="F286" s="8"/>
      <c r="G286" s="8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spans="1:31" x14ac:dyDescent="0.15">
      <c r="A287" s="8"/>
      <c r="B287" s="8"/>
      <c r="C287" s="8"/>
      <c r="D287" s="8"/>
      <c r="E287" s="8"/>
      <c r="F287" s="8"/>
      <c r="G287" s="8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spans="1:31" x14ac:dyDescent="0.15">
      <c r="A288" s="8"/>
      <c r="B288" s="8"/>
      <c r="C288" s="8"/>
      <c r="D288" s="8"/>
      <c r="E288" s="8"/>
      <c r="F288" s="8"/>
      <c r="G288" s="8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spans="1:31" x14ac:dyDescent="0.15">
      <c r="A289" s="8"/>
      <c r="B289" s="8"/>
      <c r="C289" s="8"/>
      <c r="D289" s="8"/>
      <c r="E289" s="8"/>
      <c r="F289" s="8"/>
      <c r="G289" s="8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spans="1:31" x14ac:dyDescent="0.15">
      <c r="A290" s="8"/>
      <c r="B290" s="8"/>
      <c r="C290" s="8"/>
      <c r="D290" s="8"/>
      <c r="E290" s="8"/>
      <c r="F290" s="8"/>
      <c r="G290" s="8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spans="1:31" x14ac:dyDescent="0.15">
      <c r="A291" s="8"/>
      <c r="B291" s="8"/>
      <c r="C291" s="8"/>
      <c r="D291" s="8"/>
      <c r="E291" s="8"/>
      <c r="F291" s="8"/>
      <c r="G291" s="8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spans="1:31" x14ac:dyDescent="0.15">
      <c r="A292" s="8"/>
      <c r="B292" s="8"/>
      <c r="C292" s="8"/>
      <c r="D292" s="8"/>
      <c r="E292" s="8"/>
      <c r="F292" s="8"/>
      <c r="G292" s="8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spans="1:31" x14ac:dyDescent="0.15">
      <c r="A293" s="8"/>
      <c r="B293" s="8"/>
      <c r="C293" s="8"/>
      <c r="D293" s="8"/>
      <c r="E293" s="8"/>
      <c r="F293" s="8"/>
      <c r="G293" s="8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spans="1:31" x14ac:dyDescent="0.15">
      <c r="A294" s="8"/>
      <c r="B294" s="8"/>
      <c r="C294" s="8"/>
      <c r="D294" s="8"/>
      <c r="E294" s="8"/>
      <c r="F294" s="8"/>
      <c r="G294" s="8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spans="1:31" x14ac:dyDescent="0.15">
      <c r="A295" s="8"/>
      <c r="B295" s="8"/>
      <c r="C295" s="8"/>
      <c r="D295" s="8"/>
      <c r="E295" s="8"/>
      <c r="F295" s="8"/>
      <c r="G295" s="8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spans="1:31" x14ac:dyDescent="0.15">
      <c r="A296" s="8"/>
      <c r="B296" s="8"/>
      <c r="C296" s="8"/>
      <c r="D296" s="8"/>
      <c r="E296" s="8"/>
      <c r="F296" s="8"/>
      <c r="G296" s="8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spans="1:31" x14ac:dyDescent="0.15">
      <c r="A297" s="8"/>
      <c r="B297" s="8"/>
      <c r="C297" s="8"/>
      <c r="D297" s="8"/>
      <c r="E297" s="8"/>
      <c r="F297" s="8"/>
      <c r="G297" s="8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spans="1:31" x14ac:dyDescent="0.15">
      <c r="A298" s="8"/>
      <c r="B298" s="8"/>
      <c r="C298" s="8"/>
      <c r="D298" s="8"/>
      <c r="E298" s="8"/>
      <c r="F298" s="8"/>
      <c r="G298" s="8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spans="1:31" x14ac:dyDescent="0.15">
      <c r="A299" s="8"/>
      <c r="B299" s="8"/>
      <c r="C299" s="8"/>
      <c r="D299" s="8"/>
      <c r="E299" s="8"/>
      <c r="F299" s="8"/>
      <c r="G299" s="8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spans="1:31" x14ac:dyDescent="0.15">
      <c r="A300" s="8"/>
      <c r="B300" s="8"/>
      <c r="C300" s="8"/>
      <c r="D300" s="8"/>
      <c r="E300" s="8"/>
      <c r="F300" s="8"/>
      <c r="G300" s="8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spans="1:31" x14ac:dyDescent="0.15">
      <c r="A301" s="8"/>
      <c r="B301" s="8"/>
      <c r="C301" s="8"/>
      <c r="D301" s="8"/>
      <c r="E301" s="8"/>
      <c r="F301" s="8"/>
      <c r="G301" s="8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spans="1:31" x14ac:dyDescent="0.15">
      <c r="A302" s="8"/>
      <c r="B302" s="8"/>
      <c r="C302" s="8"/>
      <c r="D302" s="8"/>
      <c r="E302" s="8"/>
      <c r="F302" s="8"/>
      <c r="G302" s="8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spans="1:31" x14ac:dyDescent="0.15">
      <c r="A303" s="8"/>
      <c r="B303" s="8"/>
      <c r="C303" s="8"/>
      <c r="D303" s="8"/>
      <c r="E303" s="8"/>
      <c r="F303" s="8"/>
      <c r="G303" s="8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spans="1:31" x14ac:dyDescent="0.15">
      <c r="A304" s="8"/>
      <c r="B304" s="8"/>
      <c r="C304" s="8"/>
      <c r="D304" s="8"/>
      <c r="E304" s="8"/>
      <c r="F304" s="8"/>
      <c r="G304" s="8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spans="1:31" x14ac:dyDescent="0.15">
      <c r="A305" s="8"/>
      <c r="B305" s="8"/>
      <c r="C305" s="8"/>
      <c r="D305" s="8"/>
      <c r="E305" s="8"/>
      <c r="F305" s="8"/>
      <c r="G305" s="8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spans="1:31" x14ac:dyDescent="0.15">
      <c r="A306" s="8"/>
      <c r="B306" s="8"/>
      <c r="C306" s="8"/>
      <c r="D306" s="8"/>
      <c r="E306" s="8"/>
      <c r="F306" s="8"/>
      <c r="G306" s="8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spans="1:31" x14ac:dyDescent="0.15">
      <c r="A307" s="8"/>
      <c r="B307" s="8"/>
      <c r="C307" s="8"/>
      <c r="D307" s="8"/>
      <c r="E307" s="8"/>
      <c r="F307" s="8"/>
      <c r="G307" s="8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spans="1:31" x14ac:dyDescent="0.15">
      <c r="A308" s="8"/>
      <c r="B308" s="8"/>
      <c r="C308" s="8"/>
      <c r="D308" s="8"/>
      <c r="E308" s="8"/>
      <c r="F308" s="8"/>
      <c r="G308" s="8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spans="1:31" x14ac:dyDescent="0.15">
      <c r="A309" s="8"/>
      <c r="B309" s="8"/>
      <c r="C309" s="8"/>
      <c r="D309" s="8"/>
      <c r="E309" s="8"/>
      <c r="F309" s="8"/>
      <c r="G309" s="8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spans="1:31" x14ac:dyDescent="0.15">
      <c r="A310" s="8"/>
      <c r="B310" s="8"/>
      <c r="C310" s="8"/>
      <c r="D310" s="8"/>
      <c r="E310" s="8"/>
      <c r="F310" s="8"/>
      <c r="G310" s="8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spans="1:31" x14ac:dyDescent="0.15">
      <c r="A311" s="8"/>
      <c r="B311" s="8"/>
      <c r="C311" s="8"/>
      <c r="D311" s="8"/>
      <c r="E311" s="8"/>
      <c r="F311" s="8"/>
      <c r="G311" s="8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spans="1:31" x14ac:dyDescent="0.15">
      <c r="A312" s="8"/>
      <c r="B312" s="8"/>
      <c r="C312" s="8"/>
      <c r="D312" s="8"/>
      <c r="E312" s="8"/>
      <c r="F312" s="8"/>
      <c r="G312" s="8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spans="1:31" x14ac:dyDescent="0.15">
      <c r="A313" s="8"/>
      <c r="B313" s="8"/>
      <c r="C313" s="8"/>
      <c r="D313" s="8"/>
      <c r="E313" s="8"/>
      <c r="F313" s="8"/>
      <c r="G313" s="8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spans="1:31" x14ac:dyDescent="0.15">
      <c r="A314" s="8"/>
      <c r="B314" s="8"/>
      <c r="C314" s="8"/>
      <c r="D314" s="8"/>
      <c r="E314" s="8"/>
      <c r="F314" s="8"/>
      <c r="G314" s="8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spans="1:31" x14ac:dyDescent="0.15">
      <c r="A315" s="8"/>
      <c r="B315" s="8"/>
      <c r="C315" s="8"/>
      <c r="D315" s="8"/>
      <c r="E315" s="8"/>
      <c r="F315" s="8"/>
      <c r="G315" s="8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spans="1:31" x14ac:dyDescent="0.15">
      <c r="A316" s="8"/>
      <c r="B316" s="8"/>
      <c r="C316" s="8"/>
      <c r="D316" s="8"/>
      <c r="E316" s="8"/>
      <c r="F316" s="8"/>
      <c r="G316" s="8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spans="1:31" x14ac:dyDescent="0.15">
      <c r="A317" s="8"/>
      <c r="B317" s="8"/>
      <c r="C317" s="8"/>
      <c r="D317" s="8"/>
      <c r="E317" s="8"/>
      <c r="F317" s="8"/>
      <c r="G317" s="8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spans="1:31" x14ac:dyDescent="0.15">
      <c r="A318" s="8"/>
      <c r="B318" s="8"/>
      <c r="C318" s="8"/>
      <c r="D318" s="8"/>
      <c r="E318" s="8"/>
      <c r="F318" s="8"/>
      <c r="G318" s="8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spans="1:31" x14ac:dyDescent="0.15">
      <c r="A319" s="8"/>
      <c r="B319" s="8"/>
      <c r="C319" s="8"/>
      <c r="D319" s="8"/>
      <c r="E319" s="8"/>
      <c r="F319" s="8"/>
      <c r="G319" s="8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spans="1:31" x14ac:dyDescent="0.15">
      <c r="A320" s="8"/>
      <c r="B320" s="8"/>
      <c r="C320" s="8"/>
      <c r="D320" s="8"/>
      <c r="E320" s="8"/>
      <c r="F320" s="8"/>
      <c r="G320" s="8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spans="1:31" x14ac:dyDescent="0.15">
      <c r="A321" s="8"/>
      <c r="B321" s="8"/>
      <c r="C321" s="8"/>
      <c r="D321" s="8"/>
      <c r="E321" s="8"/>
      <c r="F321" s="8"/>
      <c r="G321" s="8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spans="1:31" x14ac:dyDescent="0.15">
      <c r="A322" s="8"/>
      <c r="B322" s="8"/>
      <c r="C322" s="8"/>
      <c r="D322" s="8"/>
      <c r="E322" s="8"/>
      <c r="F322" s="8"/>
      <c r="G322" s="8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spans="1:31" x14ac:dyDescent="0.15">
      <c r="A323" s="8"/>
      <c r="B323" s="8"/>
      <c r="C323" s="8"/>
      <c r="D323" s="8"/>
      <c r="E323" s="8"/>
      <c r="F323" s="8"/>
      <c r="G323" s="8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spans="1:31" x14ac:dyDescent="0.15">
      <c r="A324" s="8"/>
      <c r="B324" s="8"/>
      <c r="C324" s="8"/>
      <c r="D324" s="8"/>
      <c r="E324" s="8"/>
      <c r="F324" s="8"/>
      <c r="G324" s="8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spans="1:31" x14ac:dyDescent="0.15">
      <c r="A325" s="8"/>
      <c r="B325" s="8"/>
      <c r="C325" s="8"/>
      <c r="D325" s="8"/>
      <c r="E325" s="8"/>
      <c r="F325" s="8"/>
      <c r="G325" s="8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spans="1:31" x14ac:dyDescent="0.15">
      <c r="A326" s="8"/>
      <c r="B326" s="8"/>
      <c r="C326" s="8"/>
      <c r="D326" s="8"/>
      <c r="E326" s="8"/>
      <c r="F326" s="8"/>
      <c r="G326" s="8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spans="1:31" x14ac:dyDescent="0.15">
      <c r="A327" s="8"/>
      <c r="B327" s="8"/>
      <c r="C327" s="8"/>
      <c r="D327" s="8"/>
      <c r="E327" s="8"/>
      <c r="F327" s="8"/>
      <c r="G327" s="8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spans="1:31" x14ac:dyDescent="0.15">
      <c r="A328" s="8"/>
      <c r="B328" s="8"/>
      <c r="C328" s="8"/>
      <c r="D328" s="8"/>
      <c r="E328" s="8"/>
      <c r="F328" s="8"/>
      <c r="G328" s="8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spans="1:31" x14ac:dyDescent="0.15">
      <c r="A329" s="8"/>
      <c r="B329" s="8"/>
      <c r="C329" s="8"/>
      <c r="D329" s="8"/>
      <c r="E329" s="8"/>
      <c r="F329" s="8"/>
      <c r="G329" s="8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spans="1:31" x14ac:dyDescent="0.15">
      <c r="A330" s="8"/>
      <c r="B330" s="8"/>
      <c r="C330" s="8"/>
      <c r="D330" s="8"/>
      <c r="E330" s="8"/>
      <c r="F330" s="8"/>
      <c r="G330" s="8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spans="1:31" x14ac:dyDescent="0.15">
      <c r="A331" s="8"/>
      <c r="B331" s="8"/>
      <c r="C331" s="8"/>
      <c r="D331" s="8"/>
      <c r="E331" s="8"/>
      <c r="F331" s="8"/>
      <c r="G331" s="8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spans="1:31" x14ac:dyDescent="0.15">
      <c r="A332" s="8"/>
      <c r="B332" s="8"/>
      <c r="C332" s="8"/>
      <c r="D332" s="8"/>
      <c r="E332" s="8"/>
      <c r="F332" s="8"/>
      <c r="G332" s="8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spans="1:31" x14ac:dyDescent="0.15">
      <c r="A333" s="8"/>
      <c r="B333" s="8"/>
      <c r="C333" s="8"/>
      <c r="D333" s="8"/>
      <c r="E333" s="8"/>
      <c r="F333" s="8"/>
      <c r="G333" s="8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spans="1:31" x14ac:dyDescent="0.15">
      <c r="A334" s="8"/>
      <c r="B334" s="8"/>
      <c r="C334" s="8"/>
      <c r="D334" s="8"/>
      <c r="E334" s="8"/>
      <c r="F334" s="8"/>
      <c r="G334" s="8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spans="1:31" x14ac:dyDescent="0.15">
      <c r="A335" s="8"/>
      <c r="B335" s="8"/>
      <c r="C335" s="8"/>
      <c r="D335" s="8"/>
      <c r="E335" s="8"/>
      <c r="F335" s="8"/>
      <c r="G335" s="8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spans="1:31" x14ac:dyDescent="0.15">
      <c r="A336" s="8"/>
      <c r="B336" s="8"/>
      <c r="C336" s="8"/>
      <c r="D336" s="8"/>
      <c r="E336" s="8"/>
      <c r="F336" s="8"/>
      <c r="G336" s="8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spans="1:31" x14ac:dyDescent="0.15">
      <c r="A337" s="8"/>
      <c r="B337" s="8"/>
      <c r="C337" s="8"/>
      <c r="D337" s="8"/>
      <c r="E337" s="8"/>
      <c r="F337" s="8"/>
      <c r="G337" s="8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 spans="1:31" x14ac:dyDescent="0.15">
      <c r="A338" s="8"/>
      <c r="B338" s="8"/>
      <c r="C338" s="8"/>
      <c r="D338" s="8"/>
      <c r="E338" s="8"/>
      <c r="F338" s="8"/>
      <c r="G338" s="8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spans="1:31" x14ac:dyDescent="0.15">
      <c r="A339" s="8"/>
      <c r="B339" s="8"/>
      <c r="C339" s="8"/>
      <c r="D339" s="8"/>
      <c r="E339" s="8"/>
      <c r="F339" s="8"/>
      <c r="G339" s="8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spans="1:31" x14ac:dyDescent="0.15">
      <c r="A340" s="8"/>
      <c r="B340" s="8"/>
      <c r="C340" s="8"/>
      <c r="D340" s="8"/>
      <c r="E340" s="8"/>
      <c r="F340" s="8"/>
      <c r="G340" s="8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spans="1:31" x14ac:dyDescent="0.15">
      <c r="A341" s="8"/>
      <c r="B341" s="8"/>
      <c r="C341" s="8"/>
      <c r="D341" s="8"/>
      <c r="E341" s="8"/>
      <c r="F341" s="8"/>
      <c r="G341" s="8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spans="1:31" x14ac:dyDescent="0.15">
      <c r="A342" s="8"/>
      <c r="B342" s="8"/>
      <c r="C342" s="8"/>
      <c r="D342" s="8"/>
      <c r="E342" s="8"/>
      <c r="F342" s="8"/>
      <c r="G342" s="8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 spans="1:31" x14ac:dyDescent="0.15">
      <c r="A343" s="8"/>
      <c r="B343" s="8"/>
      <c r="C343" s="8"/>
      <c r="D343" s="8"/>
      <c r="E343" s="8"/>
      <c r="F343" s="8"/>
      <c r="G343" s="8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spans="1:31" x14ac:dyDescent="0.15">
      <c r="A344" s="8"/>
      <c r="B344" s="8"/>
      <c r="C344" s="8"/>
      <c r="D344" s="8"/>
      <c r="E344" s="8"/>
      <c r="F344" s="8"/>
      <c r="G344" s="8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spans="1:31" x14ac:dyDescent="0.15">
      <c r="A345" s="8"/>
      <c r="B345" s="8"/>
      <c r="C345" s="8"/>
      <c r="D345" s="8"/>
      <c r="E345" s="8"/>
      <c r="F345" s="8"/>
      <c r="G345" s="8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spans="1:31" x14ac:dyDescent="0.15">
      <c r="A346" s="8"/>
      <c r="B346" s="8"/>
      <c r="C346" s="8"/>
      <c r="D346" s="8"/>
      <c r="E346" s="8"/>
      <c r="F346" s="8"/>
      <c r="G346" s="8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spans="1:31" x14ac:dyDescent="0.15">
      <c r="A347" s="8"/>
      <c r="B347" s="8"/>
      <c r="C347" s="8"/>
      <c r="D347" s="8"/>
      <c r="E347" s="8"/>
      <c r="F347" s="8"/>
      <c r="G347" s="8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 spans="1:31" x14ac:dyDescent="0.15">
      <c r="A348" s="8"/>
      <c r="B348" s="8"/>
      <c r="C348" s="8"/>
      <c r="D348" s="8"/>
      <c r="E348" s="8"/>
      <c r="F348" s="8"/>
      <c r="G348" s="8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spans="1:31" x14ac:dyDescent="0.15">
      <c r="A349" s="8"/>
      <c r="B349" s="8"/>
      <c r="C349" s="8"/>
      <c r="D349" s="8"/>
      <c r="E349" s="8"/>
      <c r="F349" s="8"/>
      <c r="G349" s="8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spans="1:31" x14ac:dyDescent="0.15">
      <c r="A350" s="8"/>
      <c r="B350" s="8"/>
      <c r="C350" s="8"/>
      <c r="D350" s="8"/>
      <c r="E350" s="8"/>
      <c r="F350" s="8"/>
      <c r="G350" s="8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spans="1:31" x14ac:dyDescent="0.15">
      <c r="A351" s="8"/>
      <c r="B351" s="8"/>
      <c r="C351" s="8"/>
      <c r="D351" s="8"/>
      <c r="E351" s="8"/>
      <c r="F351" s="8"/>
      <c r="G351" s="8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spans="1:31" x14ac:dyDescent="0.15">
      <c r="A352" s="8"/>
      <c r="B352" s="8"/>
      <c r="C352" s="8"/>
      <c r="D352" s="8"/>
      <c r="E352" s="8"/>
      <c r="F352" s="8"/>
      <c r="G352" s="8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 spans="1:31" x14ac:dyDescent="0.15">
      <c r="A353" s="8"/>
      <c r="B353" s="8"/>
      <c r="C353" s="8"/>
      <c r="D353" s="8"/>
      <c r="E353" s="8"/>
      <c r="F353" s="8"/>
      <c r="G353" s="8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spans="1:31" x14ac:dyDescent="0.15">
      <c r="A354" s="8"/>
      <c r="B354" s="8"/>
      <c r="C354" s="8"/>
      <c r="D354" s="8"/>
      <c r="E354" s="8"/>
      <c r="F354" s="8"/>
      <c r="G354" s="8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spans="1:31" x14ac:dyDescent="0.15">
      <c r="A355" s="8"/>
      <c r="B355" s="8"/>
      <c r="C355" s="8"/>
      <c r="D355" s="8"/>
      <c r="E355" s="8"/>
      <c r="F355" s="8"/>
      <c r="G355" s="8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spans="1:31" x14ac:dyDescent="0.15">
      <c r="A356" s="8"/>
      <c r="B356" s="8"/>
      <c r="C356" s="8"/>
      <c r="D356" s="8"/>
      <c r="E356" s="8"/>
      <c r="F356" s="8"/>
      <c r="G356" s="8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spans="1:31" x14ac:dyDescent="0.15">
      <c r="A357" s="8"/>
      <c r="B357" s="8"/>
      <c r="C357" s="8"/>
      <c r="D357" s="8"/>
      <c r="E357" s="8"/>
      <c r="F357" s="8"/>
      <c r="G357" s="8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 spans="1:31" x14ac:dyDescent="0.15">
      <c r="A358" s="8"/>
      <c r="B358" s="8"/>
      <c r="C358" s="8"/>
      <c r="D358" s="8"/>
      <c r="E358" s="8"/>
      <c r="F358" s="8"/>
      <c r="G358" s="8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spans="1:31" x14ac:dyDescent="0.15">
      <c r="A359" s="8"/>
      <c r="B359" s="8"/>
      <c r="C359" s="8"/>
      <c r="D359" s="8"/>
      <c r="E359" s="8"/>
      <c r="F359" s="8"/>
      <c r="G359" s="8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spans="1:31" x14ac:dyDescent="0.15">
      <c r="A360" s="8"/>
      <c r="B360" s="8"/>
      <c r="C360" s="8"/>
      <c r="D360" s="8"/>
      <c r="E360" s="8"/>
      <c r="F360" s="8"/>
      <c r="G360" s="8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spans="1:31" x14ac:dyDescent="0.15">
      <c r="A361" s="8"/>
      <c r="B361" s="8"/>
      <c r="C361" s="8"/>
      <c r="D361" s="8"/>
      <c r="E361" s="8"/>
      <c r="F361" s="8"/>
      <c r="G361" s="8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spans="1:31" x14ac:dyDescent="0.15">
      <c r="A362" s="8"/>
      <c r="B362" s="8"/>
      <c r="C362" s="8"/>
      <c r="D362" s="8"/>
      <c r="E362" s="8"/>
      <c r="F362" s="8"/>
      <c r="G362" s="8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 spans="1:31" x14ac:dyDescent="0.15">
      <c r="A363" s="8"/>
      <c r="B363" s="8"/>
      <c r="C363" s="8"/>
      <c r="D363" s="8"/>
      <c r="E363" s="8"/>
      <c r="F363" s="8"/>
      <c r="G363" s="8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spans="1:31" x14ac:dyDescent="0.15">
      <c r="A364" s="8"/>
      <c r="B364" s="8"/>
      <c r="C364" s="8"/>
      <c r="D364" s="8"/>
      <c r="E364" s="8"/>
      <c r="F364" s="8"/>
      <c r="G364" s="8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spans="1:31" x14ac:dyDescent="0.15">
      <c r="A365" s="8"/>
      <c r="B365" s="8"/>
      <c r="C365" s="8"/>
      <c r="D365" s="8"/>
      <c r="E365" s="8"/>
      <c r="F365" s="8"/>
      <c r="G365" s="8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spans="1:31" x14ac:dyDescent="0.15">
      <c r="A366" s="8"/>
      <c r="B366" s="8"/>
      <c r="C366" s="8"/>
      <c r="D366" s="8"/>
      <c r="E366" s="8"/>
      <c r="F366" s="8"/>
      <c r="G366" s="8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spans="1:31" x14ac:dyDescent="0.15">
      <c r="A367" s="8"/>
      <c r="B367" s="8"/>
      <c r="C367" s="8"/>
      <c r="D367" s="8"/>
      <c r="E367" s="8"/>
      <c r="F367" s="8"/>
      <c r="G367" s="8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 spans="1:31" x14ac:dyDescent="0.15">
      <c r="A368" s="8"/>
      <c r="B368" s="8"/>
      <c r="C368" s="8"/>
      <c r="D368" s="8"/>
      <c r="E368" s="8"/>
      <c r="F368" s="8"/>
      <c r="G368" s="8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spans="1:31" x14ac:dyDescent="0.15">
      <c r="A369" s="8"/>
      <c r="B369" s="8"/>
      <c r="C369" s="8"/>
      <c r="D369" s="8"/>
      <c r="E369" s="8"/>
      <c r="F369" s="8"/>
      <c r="G369" s="8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spans="1:31" x14ac:dyDescent="0.15">
      <c r="A370" s="8"/>
      <c r="B370" s="8"/>
      <c r="C370" s="8"/>
      <c r="D370" s="8"/>
      <c r="E370" s="8"/>
      <c r="F370" s="8"/>
      <c r="G370" s="8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spans="1:31" x14ac:dyDescent="0.15">
      <c r="A371" s="8"/>
      <c r="B371" s="8"/>
      <c r="C371" s="8"/>
      <c r="D371" s="8"/>
      <c r="E371" s="8"/>
      <c r="F371" s="8"/>
      <c r="G371" s="8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spans="1:31" x14ac:dyDescent="0.15">
      <c r="A372" s="8"/>
      <c r="B372" s="8"/>
      <c r="C372" s="8"/>
      <c r="D372" s="8"/>
      <c r="E372" s="8"/>
      <c r="F372" s="8"/>
      <c r="G372" s="8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 spans="1:31" x14ac:dyDescent="0.15">
      <c r="A373" s="8"/>
      <c r="B373" s="8"/>
      <c r="C373" s="8"/>
      <c r="D373" s="8"/>
      <c r="E373" s="8"/>
      <c r="F373" s="8"/>
      <c r="G373" s="8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spans="1:31" x14ac:dyDescent="0.15">
      <c r="A374" s="8"/>
      <c r="B374" s="8"/>
      <c r="C374" s="8"/>
      <c r="D374" s="8"/>
      <c r="E374" s="8"/>
      <c r="F374" s="8"/>
      <c r="G374" s="8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spans="1:31" x14ac:dyDescent="0.15">
      <c r="A375" s="8"/>
      <c r="B375" s="8"/>
      <c r="C375" s="8"/>
      <c r="D375" s="8"/>
      <c r="E375" s="8"/>
      <c r="F375" s="8"/>
      <c r="G375" s="8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spans="1:31" x14ac:dyDescent="0.15">
      <c r="A376" s="8"/>
      <c r="B376" s="8"/>
      <c r="C376" s="8"/>
      <c r="D376" s="8"/>
      <c r="E376" s="8"/>
      <c r="F376" s="8"/>
      <c r="G376" s="8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spans="1:31" x14ac:dyDescent="0.15">
      <c r="A377" s="8"/>
      <c r="B377" s="8"/>
      <c r="C377" s="8"/>
      <c r="D377" s="8"/>
      <c r="E377" s="8"/>
      <c r="F377" s="8"/>
      <c r="G377" s="8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 spans="1:31" x14ac:dyDescent="0.15">
      <c r="A378" s="8"/>
      <c r="B378" s="8"/>
      <c r="C378" s="8"/>
      <c r="D378" s="8"/>
      <c r="E378" s="8"/>
      <c r="F378" s="8"/>
      <c r="G378" s="8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spans="1:31" x14ac:dyDescent="0.15">
      <c r="A379" s="8"/>
      <c r="B379" s="8"/>
      <c r="C379" s="8"/>
      <c r="D379" s="8"/>
      <c r="E379" s="8"/>
      <c r="F379" s="8"/>
      <c r="G379" s="8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spans="1:31" x14ac:dyDescent="0.15">
      <c r="A380" s="8"/>
      <c r="B380" s="8"/>
      <c r="C380" s="8"/>
      <c r="D380" s="8"/>
      <c r="E380" s="8"/>
      <c r="F380" s="8"/>
      <c r="G380" s="8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spans="1:31" x14ac:dyDescent="0.15">
      <c r="A381" s="8"/>
      <c r="B381" s="8"/>
      <c r="C381" s="8"/>
      <c r="D381" s="8"/>
      <c r="E381" s="8"/>
      <c r="F381" s="8"/>
      <c r="G381" s="8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spans="1:31" x14ac:dyDescent="0.15">
      <c r="A382" s="8"/>
      <c r="B382" s="8"/>
      <c r="C382" s="8"/>
      <c r="D382" s="8"/>
      <c r="E382" s="8"/>
      <c r="F382" s="8"/>
      <c r="G382" s="8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 spans="1:31" x14ac:dyDescent="0.15">
      <c r="A383" s="8"/>
      <c r="B383" s="8"/>
      <c r="C383" s="8"/>
      <c r="D383" s="8"/>
      <c r="E383" s="8"/>
      <c r="F383" s="8"/>
      <c r="G383" s="8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spans="1:31" x14ac:dyDescent="0.15">
      <c r="A384" s="8"/>
      <c r="B384" s="8"/>
      <c r="C384" s="8"/>
      <c r="D384" s="8"/>
      <c r="E384" s="8"/>
      <c r="F384" s="8"/>
      <c r="G384" s="8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spans="1:31" x14ac:dyDescent="0.15">
      <c r="A385" s="8"/>
      <c r="B385" s="8"/>
      <c r="C385" s="8"/>
      <c r="D385" s="8"/>
      <c r="E385" s="8"/>
      <c r="F385" s="8"/>
      <c r="G385" s="8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spans="1:31" x14ac:dyDescent="0.15">
      <c r="A386" s="8"/>
      <c r="B386" s="8"/>
      <c r="C386" s="8"/>
      <c r="D386" s="8"/>
      <c r="E386" s="8"/>
      <c r="F386" s="8"/>
      <c r="G386" s="8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spans="1:31" x14ac:dyDescent="0.15">
      <c r="A387" s="8"/>
      <c r="B387" s="8"/>
      <c r="C387" s="8"/>
      <c r="D387" s="8"/>
      <c r="E387" s="8"/>
      <c r="F387" s="8"/>
      <c r="G387" s="8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 spans="1:31" x14ac:dyDescent="0.15">
      <c r="A388" s="8"/>
      <c r="B388" s="8"/>
      <c r="C388" s="8"/>
      <c r="D388" s="8"/>
      <c r="E388" s="8"/>
      <c r="F388" s="8"/>
      <c r="G388" s="8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spans="1:31" x14ac:dyDescent="0.15">
      <c r="A389" s="8"/>
      <c r="B389" s="8"/>
      <c r="C389" s="8"/>
      <c r="D389" s="8"/>
      <c r="E389" s="8"/>
      <c r="F389" s="8"/>
      <c r="G389" s="8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spans="1:31" x14ac:dyDescent="0.15">
      <c r="A390" s="8"/>
      <c r="B390" s="8"/>
      <c r="C390" s="8"/>
      <c r="D390" s="8"/>
      <c r="E390" s="8"/>
      <c r="F390" s="8"/>
      <c r="G390" s="8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spans="1:31" x14ac:dyDescent="0.15">
      <c r="A391" s="8"/>
      <c r="B391" s="8"/>
      <c r="C391" s="8"/>
      <c r="D391" s="8"/>
      <c r="E391" s="8"/>
      <c r="F391" s="8"/>
      <c r="G391" s="8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spans="1:31" x14ac:dyDescent="0.15">
      <c r="A392" s="8"/>
      <c r="B392" s="8"/>
      <c r="C392" s="8"/>
      <c r="D392" s="8"/>
      <c r="E392" s="8"/>
      <c r="F392" s="8"/>
      <c r="G392" s="8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 spans="1:31" x14ac:dyDescent="0.15">
      <c r="A393" s="8"/>
      <c r="B393" s="8"/>
      <c r="C393" s="8"/>
      <c r="D393" s="8"/>
      <c r="E393" s="8"/>
      <c r="F393" s="8"/>
      <c r="G393" s="8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spans="1:31" x14ac:dyDescent="0.15">
      <c r="A394" s="8"/>
      <c r="B394" s="8"/>
      <c r="C394" s="8"/>
      <c r="D394" s="8"/>
      <c r="E394" s="8"/>
      <c r="F394" s="8"/>
      <c r="G394" s="8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spans="1:31" x14ac:dyDescent="0.15">
      <c r="A395" s="8"/>
      <c r="B395" s="8"/>
      <c r="C395" s="8"/>
      <c r="D395" s="8"/>
      <c r="E395" s="8"/>
      <c r="F395" s="8"/>
      <c r="G395" s="8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spans="1:31" x14ac:dyDescent="0.15">
      <c r="A396" s="8"/>
      <c r="B396" s="8"/>
      <c r="C396" s="8"/>
      <c r="D396" s="8"/>
      <c r="E396" s="8"/>
      <c r="F396" s="8"/>
      <c r="G396" s="8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spans="1:31" x14ac:dyDescent="0.15">
      <c r="A397" s="8"/>
      <c r="B397" s="8"/>
      <c r="C397" s="8"/>
      <c r="D397" s="8"/>
      <c r="E397" s="8"/>
      <c r="F397" s="8"/>
      <c r="G397" s="8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 spans="1:31" x14ac:dyDescent="0.15">
      <c r="A398" s="8"/>
      <c r="B398" s="8"/>
      <c r="C398" s="8"/>
      <c r="D398" s="8"/>
      <c r="E398" s="8"/>
      <c r="F398" s="8"/>
      <c r="G398" s="8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spans="1:31" x14ac:dyDescent="0.15">
      <c r="A399" s="8"/>
      <c r="B399" s="8"/>
      <c r="C399" s="8"/>
      <c r="D399" s="8"/>
      <c r="E399" s="8"/>
      <c r="F399" s="8"/>
      <c r="G399" s="8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spans="1:31" x14ac:dyDescent="0.15">
      <c r="A400" s="8"/>
      <c r="B400" s="8"/>
      <c r="C400" s="8"/>
      <c r="D400" s="8"/>
      <c r="E400" s="8"/>
      <c r="F400" s="8"/>
      <c r="G400" s="8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spans="1:31" x14ac:dyDescent="0.15">
      <c r="A401" s="8"/>
      <c r="B401" s="8"/>
      <c r="C401" s="8"/>
      <c r="D401" s="8"/>
      <c r="E401" s="8"/>
      <c r="F401" s="8"/>
      <c r="G401" s="8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spans="1:31" x14ac:dyDescent="0.15">
      <c r="A402" s="8"/>
      <c r="B402" s="8"/>
      <c r="C402" s="8"/>
      <c r="D402" s="8"/>
      <c r="E402" s="8"/>
      <c r="F402" s="8"/>
      <c r="G402" s="8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 spans="1:31" x14ac:dyDescent="0.15">
      <c r="A403" s="8"/>
      <c r="B403" s="8"/>
      <c r="C403" s="8"/>
      <c r="D403" s="8"/>
      <c r="E403" s="8"/>
      <c r="F403" s="8"/>
      <c r="G403" s="8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spans="1:31" x14ac:dyDescent="0.15">
      <c r="A404" s="8"/>
      <c r="B404" s="8"/>
      <c r="C404" s="8"/>
      <c r="D404" s="8"/>
      <c r="E404" s="8"/>
      <c r="F404" s="8"/>
      <c r="G404" s="8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spans="1:31" x14ac:dyDescent="0.15">
      <c r="A405" s="8"/>
      <c r="B405" s="8"/>
      <c r="C405" s="8"/>
      <c r="D405" s="8"/>
      <c r="E405" s="8"/>
      <c r="F405" s="8"/>
      <c r="G405" s="8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spans="1:31" x14ac:dyDescent="0.15">
      <c r="A406" s="8"/>
      <c r="B406" s="8"/>
      <c r="C406" s="8"/>
      <c r="D406" s="8"/>
      <c r="E406" s="8"/>
      <c r="F406" s="8"/>
      <c r="G406" s="8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spans="1:31" x14ac:dyDescent="0.15">
      <c r="A407" s="8"/>
      <c r="B407" s="8"/>
      <c r="C407" s="8"/>
      <c r="D407" s="8"/>
      <c r="E407" s="8"/>
      <c r="F407" s="8"/>
      <c r="G407" s="8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 spans="1:31" x14ac:dyDescent="0.15">
      <c r="A408" s="8"/>
      <c r="B408" s="8"/>
      <c r="C408" s="8"/>
      <c r="D408" s="8"/>
      <c r="E408" s="8"/>
      <c r="F408" s="8"/>
      <c r="G408" s="8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spans="1:31" x14ac:dyDescent="0.15">
      <c r="A409" s="8"/>
      <c r="B409" s="8"/>
      <c r="C409" s="8"/>
      <c r="D409" s="8"/>
      <c r="E409" s="8"/>
      <c r="F409" s="8"/>
      <c r="G409" s="8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spans="1:31" x14ac:dyDescent="0.15">
      <c r="A410" s="8"/>
      <c r="B410" s="8"/>
      <c r="C410" s="8"/>
      <c r="D410" s="8"/>
      <c r="E410" s="8"/>
      <c r="F410" s="8"/>
      <c r="G410" s="8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spans="1:31" x14ac:dyDescent="0.15">
      <c r="A411" s="8"/>
      <c r="B411" s="8"/>
      <c r="C411" s="8"/>
      <c r="D411" s="8"/>
      <c r="E411" s="8"/>
      <c r="F411" s="8"/>
      <c r="G411" s="8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spans="1:31" x14ac:dyDescent="0.15">
      <c r="A412" s="8"/>
      <c r="B412" s="8"/>
      <c r="C412" s="8"/>
      <c r="D412" s="8"/>
      <c r="E412" s="8"/>
      <c r="F412" s="8"/>
      <c r="G412" s="8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 spans="1:31" x14ac:dyDescent="0.15">
      <c r="A413" s="8"/>
      <c r="B413" s="8"/>
      <c r="C413" s="8"/>
      <c r="D413" s="8"/>
      <c r="E413" s="8"/>
      <c r="F413" s="8"/>
      <c r="G413" s="8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spans="1:31" x14ac:dyDescent="0.15">
      <c r="A414" s="8"/>
      <c r="B414" s="8"/>
      <c r="C414" s="8"/>
      <c r="D414" s="8"/>
      <c r="E414" s="8"/>
      <c r="F414" s="8"/>
      <c r="G414" s="8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spans="1:31" x14ac:dyDescent="0.15">
      <c r="A415" s="8"/>
      <c r="B415" s="8"/>
      <c r="C415" s="8"/>
      <c r="D415" s="8"/>
      <c r="E415" s="8"/>
      <c r="F415" s="8"/>
      <c r="G415" s="8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spans="1:31" x14ac:dyDescent="0.15">
      <c r="A416" s="8"/>
      <c r="B416" s="8"/>
      <c r="C416" s="8"/>
      <c r="D416" s="8"/>
      <c r="E416" s="8"/>
      <c r="F416" s="8"/>
      <c r="G416" s="8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spans="1:31" x14ac:dyDescent="0.15">
      <c r="A417" s="8"/>
      <c r="B417" s="8"/>
      <c r="C417" s="8"/>
      <c r="D417" s="8"/>
      <c r="E417" s="8"/>
      <c r="F417" s="8"/>
      <c r="G417" s="8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 spans="1:31" x14ac:dyDescent="0.15">
      <c r="A418" s="8"/>
      <c r="B418" s="8"/>
      <c r="C418" s="8"/>
      <c r="D418" s="8"/>
      <c r="E418" s="8"/>
      <c r="F418" s="8"/>
      <c r="G418" s="8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spans="1:31" x14ac:dyDescent="0.15">
      <c r="A419" s="8"/>
      <c r="B419" s="8"/>
      <c r="C419" s="8"/>
      <c r="D419" s="8"/>
      <c r="E419" s="8"/>
      <c r="F419" s="8"/>
      <c r="G419" s="8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spans="1:31" x14ac:dyDescent="0.15">
      <c r="A420" s="8"/>
      <c r="B420" s="8"/>
      <c r="C420" s="8"/>
      <c r="D420" s="8"/>
      <c r="E420" s="8"/>
      <c r="F420" s="8"/>
      <c r="G420" s="8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spans="1:31" x14ac:dyDescent="0.15">
      <c r="A421" s="8"/>
      <c r="B421" s="8"/>
      <c r="C421" s="8"/>
      <c r="D421" s="8"/>
      <c r="E421" s="8"/>
      <c r="F421" s="8"/>
      <c r="G421" s="8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spans="1:31" x14ac:dyDescent="0.15">
      <c r="A422" s="8"/>
      <c r="B422" s="8"/>
      <c r="C422" s="8"/>
      <c r="D422" s="8"/>
      <c r="E422" s="8"/>
      <c r="F422" s="8"/>
      <c r="G422" s="8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 spans="1:31" x14ac:dyDescent="0.15">
      <c r="A423" s="8"/>
      <c r="B423" s="8"/>
      <c r="C423" s="8"/>
      <c r="D423" s="8"/>
      <c r="E423" s="8"/>
      <c r="F423" s="8"/>
      <c r="G423" s="8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spans="1:31" x14ac:dyDescent="0.15">
      <c r="A424" s="8"/>
      <c r="B424" s="8"/>
      <c r="C424" s="8"/>
      <c r="D424" s="8"/>
      <c r="E424" s="8"/>
      <c r="F424" s="8"/>
      <c r="G424" s="8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spans="1:31" x14ac:dyDescent="0.15">
      <c r="A425" s="8"/>
      <c r="B425" s="8"/>
      <c r="C425" s="8"/>
      <c r="D425" s="8"/>
      <c r="E425" s="8"/>
      <c r="F425" s="8"/>
      <c r="G425" s="8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spans="1:31" x14ac:dyDescent="0.15">
      <c r="A426" s="8"/>
      <c r="B426" s="8"/>
      <c r="C426" s="8"/>
      <c r="D426" s="8"/>
      <c r="E426" s="8"/>
      <c r="F426" s="8"/>
      <c r="G426" s="8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spans="1:31" x14ac:dyDescent="0.15">
      <c r="A427" s="8"/>
      <c r="B427" s="8"/>
      <c r="C427" s="8"/>
      <c r="D427" s="8"/>
      <c r="E427" s="8"/>
      <c r="F427" s="8"/>
      <c r="G427" s="8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 spans="1:31" x14ac:dyDescent="0.15">
      <c r="A428" s="8"/>
      <c r="B428" s="8"/>
      <c r="C428" s="8"/>
      <c r="D428" s="8"/>
      <c r="E428" s="8"/>
      <c r="F428" s="8"/>
      <c r="G428" s="8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spans="1:31" x14ac:dyDescent="0.15">
      <c r="A429" s="8"/>
      <c r="B429" s="8"/>
      <c r="C429" s="8"/>
      <c r="D429" s="8"/>
      <c r="E429" s="8"/>
      <c r="F429" s="8"/>
      <c r="G429" s="8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spans="1:31" x14ac:dyDescent="0.15">
      <c r="A430" s="8"/>
      <c r="B430" s="8"/>
      <c r="C430" s="8"/>
      <c r="D430" s="8"/>
      <c r="E430" s="8"/>
      <c r="F430" s="8"/>
      <c r="G430" s="8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spans="1:31" x14ac:dyDescent="0.15">
      <c r="A431" s="8"/>
      <c r="B431" s="8"/>
      <c r="C431" s="8"/>
      <c r="D431" s="8"/>
      <c r="E431" s="8"/>
      <c r="F431" s="8"/>
      <c r="G431" s="8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spans="1:31" x14ac:dyDescent="0.15">
      <c r="A432" s="8"/>
      <c r="B432" s="8"/>
      <c r="C432" s="8"/>
      <c r="D432" s="8"/>
      <c r="E432" s="8"/>
      <c r="F432" s="8"/>
      <c r="G432" s="8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 spans="1:31" x14ac:dyDescent="0.15">
      <c r="A433" s="8"/>
      <c r="B433" s="8"/>
      <c r="C433" s="8"/>
      <c r="D433" s="8"/>
      <c r="E433" s="8"/>
      <c r="F433" s="8"/>
      <c r="G433" s="8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spans="1:31" x14ac:dyDescent="0.15">
      <c r="A434" s="8"/>
      <c r="B434" s="8"/>
      <c r="C434" s="8"/>
      <c r="D434" s="8"/>
      <c r="E434" s="8"/>
      <c r="F434" s="8"/>
      <c r="G434" s="8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spans="1:31" x14ac:dyDescent="0.15">
      <c r="A435" s="8"/>
      <c r="B435" s="8"/>
      <c r="C435" s="8"/>
      <c r="D435" s="8"/>
      <c r="E435" s="8"/>
      <c r="F435" s="8"/>
      <c r="G435" s="8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spans="1:31" x14ac:dyDescent="0.15">
      <c r="A436" s="8"/>
      <c r="B436" s="8"/>
      <c r="C436" s="8"/>
      <c r="D436" s="8"/>
      <c r="E436" s="8"/>
      <c r="F436" s="8"/>
      <c r="G436" s="8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spans="1:31" x14ac:dyDescent="0.15">
      <c r="A437" s="8"/>
      <c r="B437" s="8"/>
      <c r="C437" s="8"/>
      <c r="D437" s="8"/>
      <c r="E437" s="8"/>
      <c r="F437" s="8"/>
      <c r="G437" s="8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 spans="1:31" x14ac:dyDescent="0.15">
      <c r="A438" s="8"/>
      <c r="B438" s="8"/>
      <c r="C438" s="8"/>
      <c r="D438" s="8"/>
      <c r="E438" s="8"/>
      <c r="F438" s="8"/>
      <c r="G438" s="8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spans="1:31" x14ac:dyDescent="0.15">
      <c r="A439" s="8"/>
      <c r="B439" s="8"/>
      <c r="C439" s="8"/>
      <c r="D439" s="8"/>
      <c r="E439" s="8"/>
      <c r="F439" s="8"/>
      <c r="G439" s="8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spans="1:31" x14ac:dyDescent="0.15">
      <c r="A440" s="8"/>
      <c r="B440" s="8"/>
      <c r="C440" s="8"/>
      <c r="D440" s="8"/>
      <c r="E440" s="8"/>
      <c r="F440" s="8"/>
      <c r="G440" s="8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spans="1:31" x14ac:dyDescent="0.15">
      <c r="A441" s="8"/>
      <c r="B441" s="8"/>
      <c r="C441" s="8"/>
      <c r="D441" s="8"/>
      <c r="E441" s="8"/>
      <c r="F441" s="8"/>
      <c r="G441" s="8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spans="1:31" x14ac:dyDescent="0.15">
      <c r="A442" s="8"/>
      <c r="B442" s="8"/>
      <c r="C442" s="8"/>
      <c r="D442" s="8"/>
      <c r="E442" s="8"/>
      <c r="F442" s="8"/>
      <c r="G442" s="8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 spans="1:31" x14ac:dyDescent="0.15">
      <c r="A443" s="8"/>
      <c r="B443" s="8"/>
      <c r="C443" s="8"/>
      <c r="D443" s="8"/>
      <c r="E443" s="8"/>
      <c r="F443" s="8"/>
      <c r="G443" s="8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spans="1:31" x14ac:dyDescent="0.15">
      <c r="A444" s="8"/>
      <c r="B444" s="8"/>
      <c r="C444" s="8"/>
      <c r="D444" s="8"/>
      <c r="E444" s="8"/>
      <c r="F444" s="8"/>
      <c r="G444" s="8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spans="1:31" x14ac:dyDescent="0.15">
      <c r="A445" s="8"/>
      <c r="B445" s="8"/>
      <c r="C445" s="8"/>
      <c r="D445" s="8"/>
      <c r="E445" s="8"/>
      <c r="F445" s="8"/>
      <c r="G445" s="8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spans="1:31" x14ac:dyDescent="0.15">
      <c r="A446" s="8"/>
      <c r="B446" s="8"/>
      <c r="C446" s="8"/>
      <c r="D446" s="8"/>
      <c r="E446" s="8"/>
      <c r="F446" s="8"/>
      <c r="G446" s="8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spans="1:31" x14ac:dyDescent="0.15">
      <c r="A447" s="8"/>
      <c r="B447" s="8"/>
      <c r="C447" s="8"/>
      <c r="D447" s="8"/>
      <c r="E447" s="8"/>
      <c r="F447" s="8"/>
      <c r="G447" s="8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 spans="1:31" x14ac:dyDescent="0.15">
      <c r="A448" s="8"/>
      <c r="B448" s="8"/>
      <c r="C448" s="8"/>
      <c r="D448" s="8"/>
      <c r="E448" s="8"/>
      <c r="F448" s="8"/>
      <c r="G448" s="8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spans="1:31" x14ac:dyDescent="0.15">
      <c r="A449" s="8"/>
      <c r="B449" s="8"/>
      <c r="C449" s="8"/>
      <c r="D449" s="8"/>
      <c r="E449" s="8"/>
      <c r="F449" s="8"/>
      <c r="G449" s="8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spans="1:31" x14ac:dyDescent="0.15">
      <c r="A450" s="8"/>
      <c r="B450" s="8"/>
      <c r="C450" s="8"/>
      <c r="D450" s="8"/>
      <c r="E450" s="8"/>
      <c r="F450" s="8"/>
      <c r="G450" s="8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spans="1:31" x14ac:dyDescent="0.15">
      <c r="A451" s="8"/>
      <c r="B451" s="8"/>
      <c r="C451" s="8"/>
      <c r="D451" s="8"/>
      <c r="E451" s="8"/>
      <c r="F451" s="8"/>
      <c r="G451" s="8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spans="1:31" x14ac:dyDescent="0.15">
      <c r="A452" s="8"/>
      <c r="B452" s="8"/>
      <c r="C452" s="8"/>
      <c r="D452" s="8"/>
      <c r="E452" s="8"/>
      <c r="F452" s="8"/>
      <c r="G452" s="8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 spans="1:31" x14ac:dyDescent="0.15">
      <c r="A453" s="8"/>
      <c r="B453" s="8"/>
      <c r="C453" s="8"/>
      <c r="D453" s="8"/>
      <c r="E453" s="8"/>
      <c r="F453" s="8"/>
      <c r="G453" s="8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spans="1:31" x14ac:dyDescent="0.15">
      <c r="A454" s="8"/>
      <c r="B454" s="8"/>
      <c r="C454" s="8"/>
      <c r="D454" s="8"/>
      <c r="E454" s="8"/>
      <c r="F454" s="8"/>
      <c r="G454" s="8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spans="1:31" x14ac:dyDescent="0.15">
      <c r="A455" s="8"/>
      <c r="B455" s="8"/>
      <c r="C455" s="8"/>
      <c r="D455" s="8"/>
      <c r="E455" s="8"/>
      <c r="F455" s="8"/>
      <c r="G455" s="8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spans="1:31" x14ac:dyDescent="0.15">
      <c r="A456" s="8"/>
      <c r="B456" s="8"/>
      <c r="C456" s="8"/>
      <c r="D456" s="8"/>
      <c r="E456" s="8"/>
      <c r="F456" s="8"/>
      <c r="G456" s="8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spans="1:31" x14ac:dyDescent="0.15">
      <c r="A457" s="8"/>
      <c r="B457" s="8"/>
      <c r="C457" s="8"/>
      <c r="D457" s="8"/>
      <c r="E457" s="8"/>
      <c r="F457" s="8"/>
      <c r="G457" s="8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 spans="1:31" x14ac:dyDescent="0.15">
      <c r="A458" s="8"/>
      <c r="B458" s="8"/>
      <c r="C458" s="8"/>
      <c r="D458" s="8"/>
      <c r="E458" s="8"/>
      <c r="F458" s="8"/>
      <c r="G458" s="8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 spans="1:31" x14ac:dyDescent="0.15">
      <c r="A459" s="8"/>
      <c r="B459" s="8"/>
      <c r="C459" s="8"/>
      <c r="D459" s="8"/>
      <c r="E459" s="8"/>
      <c r="F459" s="8"/>
      <c r="G459" s="8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spans="1:31" x14ac:dyDescent="0.15">
      <c r="A460" s="8"/>
      <c r="B460" s="8"/>
      <c r="C460" s="8"/>
      <c r="D460" s="8"/>
      <c r="E460" s="8"/>
      <c r="F460" s="8"/>
      <c r="G460" s="8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spans="1:31" x14ac:dyDescent="0.15">
      <c r="A461" s="8"/>
      <c r="B461" s="8"/>
      <c r="C461" s="8"/>
      <c r="D461" s="8"/>
      <c r="E461" s="8"/>
      <c r="F461" s="8"/>
      <c r="G461" s="8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spans="1:31" x14ac:dyDescent="0.15">
      <c r="A462" s="8"/>
      <c r="B462" s="8"/>
      <c r="C462" s="8"/>
      <c r="D462" s="8"/>
      <c r="E462" s="8"/>
      <c r="F462" s="8"/>
      <c r="G462" s="8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 spans="1:31" x14ac:dyDescent="0.15">
      <c r="A463" s="8"/>
      <c r="B463" s="8"/>
      <c r="C463" s="8"/>
      <c r="D463" s="8"/>
      <c r="E463" s="8"/>
      <c r="F463" s="8"/>
      <c r="G463" s="8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spans="1:31" x14ac:dyDescent="0.15">
      <c r="A464" s="8"/>
      <c r="B464" s="8"/>
      <c r="C464" s="8"/>
      <c r="D464" s="8"/>
      <c r="E464" s="8"/>
      <c r="F464" s="8"/>
      <c r="G464" s="8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spans="1:31" x14ac:dyDescent="0.15">
      <c r="A465" s="8"/>
      <c r="B465" s="8"/>
      <c r="C465" s="8"/>
      <c r="D465" s="8"/>
      <c r="E465" s="8"/>
      <c r="F465" s="8"/>
      <c r="G465" s="8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spans="1:31" x14ac:dyDescent="0.15">
      <c r="A466" s="8"/>
      <c r="B466" s="8"/>
      <c r="C466" s="8"/>
      <c r="D466" s="8"/>
      <c r="E466" s="8"/>
      <c r="F466" s="8"/>
      <c r="G466" s="8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spans="1:31" x14ac:dyDescent="0.15">
      <c r="A467" s="8"/>
      <c r="B467" s="8"/>
      <c r="C467" s="8"/>
      <c r="D467" s="8"/>
      <c r="E467" s="8"/>
      <c r="F467" s="8"/>
      <c r="G467" s="8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 spans="1:31" x14ac:dyDescent="0.15">
      <c r="A468" s="8"/>
      <c r="B468" s="8"/>
      <c r="C468" s="8"/>
      <c r="D468" s="8"/>
      <c r="E468" s="8"/>
      <c r="F468" s="8"/>
      <c r="G468" s="8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spans="1:31" x14ac:dyDescent="0.15">
      <c r="A469" s="8"/>
      <c r="B469" s="8"/>
      <c r="C469" s="8"/>
      <c r="D469" s="8"/>
      <c r="E469" s="8"/>
      <c r="F469" s="8"/>
      <c r="G469" s="8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spans="1:31" x14ac:dyDescent="0.15">
      <c r="A470" s="8"/>
      <c r="B470" s="8"/>
      <c r="C470" s="8"/>
      <c r="D470" s="8"/>
      <c r="E470" s="8"/>
      <c r="F470" s="8"/>
      <c r="G470" s="8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spans="1:31" x14ac:dyDescent="0.15">
      <c r="A471" s="8"/>
      <c r="B471" s="8"/>
      <c r="C471" s="8"/>
      <c r="D471" s="8"/>
      <c r="E471" s="8"/>
      <c r="F471" s="8"/>
      <c r="G471" s="8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spans="1:31" x14ac:dyDescent="0.15">
      <c r="A472" s="8"/>
      <c r="B472" s="8"/>
      <c r="C472" s="8"/>
      <c r="D472" s="8"/>
      <c r="E472" s="8"/>
      <c r="F472" s="8"/>
      <c r="G472" s="8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 spans="1:31" x14ac:dyDescent="0.15">
      <c r="A473" s="8"/>
      <c r="B473" s="8"/>
      <c r="C473" s="8"/>
      <c r="D473" s="8"/>
      <c r="E473" s="8"/>
      <c r="F473" s="8"/>
      <c r="G473" s="8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spans="1:31" x14ac:dyDescent="0.15">
      <c r="A474" s="8"/>
      <c r="B474" s="8"/>
      <c r="C474" s="8"/>
      <c r="D474" s="8"/>
      <c r="E474" s="8"/>
      <c r="F474" s="8"/>
      <c r="G474" s="8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spans="1:31" x14ac:dyDescent="0.15">
      <c r="A475" s="8"/>
      <c r="B475" s="8"/>
      <c r="C475" s="8"/>
      <c r="D475" s="8"/>
      <c r="E475" s="8"/>
      <c r="F475" s="8"/>
      <c r="G475" s="8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spans="1:31" x14ac:dyDescent="0.15">
      <c r="A476" s="8"/>
      <c r="B476" s="8"/>
      <c r="C476" s="8"/>
      <c r="D476" s="8"/>
      <c r="E476" s="8"/>
      <c r="F476" s="8"/>
      <c r="G476" s="8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spans="1:31" x14ac:dyDescent="0.15">
      <c r="A477" s="8"/>
      <c r="B477" s="8"/>
      <c r="C477" s="8"/>
      <c r="D477" s="8"/>
      <c r="E477" s="8"/>
      <c r="F477" s="8"/>
      <c r="G477" s="8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 spans="1:31" x14ac:dyDescent="0.15">
      <c r="A478" s="8"/>
      <c r="B478" s="8"/>
      <c r="C478" s="8"/>
      <c r="D478" s="8"/>
      <c r="E478" s="8"/>
      <c r="F478" s="8"/>
      <c r="G478" s="8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spans="1:31" x14ac:dyDescent="0.15">
      <c r="A479" s="8"/>
      <c r="B479" s="8"/>
      <c r="C479" s="8"/>
      <c r="D479" s="8"/>
      <c r="E479" s="8"/>
      <c r="F479" s="8"/>
      <c r="G479" s="8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spans="1:31" x14ac:dyDescent="0.15">
      <c r="A480" s="8"/>
      <c r="B480" s="8"/>
      <c r="C480" s="8"/>
      <c r="D480" s="8"/>
      <c r="E480" s="8"/>
      <c r="F480" s="8"/>
      <c r="G480" s="8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spans="1:31" x14ac:dyDescent="0.15">
      <c r="A481" s="8"/>
      <c r="B481" s="8"/>
      <c r="C481" s="8"/>
      <c r="D481" s="8"/>
      <c r="E481" s="8"/>
      <c r="F481" s="8"/>
      <c r="G481" s="8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spans="1:31" x14ac:dyDescent="0.15">
      <c r="A482" s="8"/>
      <c r="B482" s="8"/>
      <c r="C482" s="8"/>
      <c r="D482" s="8"/>
      <c r="E482" s="8"/>
      <c r="F482" s="8"/>
      <c r="G482" s="8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 spans="1:31" x14ac:dyDescent="0.15">
      <c r="A483" s="7"/>
      <c r="B483" s="7"/>
      <c r="C483" s="7"/>
      <c r="D483" s="8"/>
      <c r="E483" s="8"/>
      <c r="F483" s="8"/>
      <c r="G483" s="8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spans="1:31" x14ac:dyDescent="0.15">
      <c r="A484" s="7"/>
      <c r="B484" s="7"/>
      <c r="C484" s="7"/>
      <c r="D484" s="8"/>
      <c r="E484" s="8"/>
      <c r="F484" s="8"/>
      <c r="G484" s="8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spans="1:31" x14ac:dyDescent="0.15">
      <c r="A485" s="7"/>
      <c r="B485" s="7"/>
      <c r="C485" s="7"/>
      <c r="D485" s="8"/>
      <c r="E485" s="8"/>
      <c r="F485" s="8"/>
      <c r="G485" s="8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spans="1:31" x14ac:dyDescent="0.15">
      <c r="A486" s="7"/>
      <c r="B486" s="7"/>
      <c r="C486" s="7"/>
      <c r="D486" s="8"/>
      <c r="E486" s="8"/>
      <c r="F486" s="8"/>
      <c r="G486" s="8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spans="1:31" x14ac:dyDescent="0.15">
      <c r="A487" s="7"/>
      <c r="B487" s="7"/>
      <c r="C487" s="7"/>
      <c r="D487" s="8"/>
      <c r="E487" s="8"/>
      <c r="F487" s="8"/>
      <c r="G487" s="8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 spans="1:31" x14ac:dyDescent="0.15">
      <c r="A488" s="7"/>
      <c r="B488" s="7"/>
      <c r="C488" s="7"/>
      <c r="D488" s="8"/>
      <c r="E488" s="8"/>
      <c r="F488" s="8"/>
      <c r="G488" s="8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spans="1:31" x14ac:dyDescent="0.15">
      <c r="A489" s="7"/>
      <c r="B489" s="7"/>
      <c r="C489" s="7"/>
      <c r="D489" s="8"/>
      <c r="E489" s="8"/>
      <c r="F489" s="8"/>
      <c r="G489" s="8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spans="1:31" x14ac:dyDescent="0.15">
      <c r="A490" s="7"/>
      <c r="B490" s="7"/>
      <c r="C490" s="7"/>
      <c r="D490" s="8"/>
      <c r="E490" s="8"/>
      <c r="F490" s="8"/>
      <c r="G490" s="8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spans="1:31" x14ac:dyDescent="0.15">
      <c r="A491" s="7"/>
      <c r="B491" s="7"/>
      <c r="C491" s="7"/>
      <c r="D491" s="8"/>
      <c r="E491" s="8"/>
      <c r="F491" s="8"/>
      <c r="G491" s="8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spans="1:31" x14ac:dyDescent="0.15">
      <c r="A492" s="7"/>
      <c r="B492" s="7"/>
      <c r="C492" s="7"/>
      <c r="D492" s="8"/>
      <c r="E492" s="8"/>
      <c r="F492" s="8"/>
      <c r="G492" s="8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 spans="1:31" x14ac:dyDescent="0.15">
      <c r="A493" s="7"/>
      <c r="B493" s="7"/>
      <c r="C493" s="7"/>
      <c r="D493" s="8"/>
      <c r="E493" s="8"/>
      <c r="F493" s="8"/>
      <c r="G493" s="8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spans="1:31" x14ac:dyDescent="0.15">
      <c r="A494" s="7"/>
      <c r="B494" s="7"/>
      <c r="C494" s="7"/>
      <c r="D494" s="8"/>
      <c r="E494" s="8"/>
      <c r="F494" s="8"/>
      <c r="G494" s="8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spans="1:31" x14ac:dyDescent="0.15">
      <c r="A495" s="7"/>
      <c r="B495" s="7"/>
      <c r="C495" s="7"/>
      <c r="D495" s="8"/>
      <c r="E495" s="8"/>
      <c r="F495" s="8"/>
      <c r="G495" s="8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spans="1:31" x14ac:dyDescent="0.15">
      <c r="A496" s="7"/>
      <c r="B496" s="7"/>
      <c r="C496" s="7"/>
      <c r="D496" s="8"/>
      <c r="E496" s="8"/>
      <c r="F496" s="8"/>
      <c r="G496" s="8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spans="1:31" x14ac:dyDescent="0.15">
      <c r="A497" s="7"/>
      <c r="B497" s="7"/>
      <c r="C497" s="7"/>
      <c r="D497" s="8"/>
      <c r="E497" s="8"/>
      <c r="F497" s="8"/>
      <c r="G497" s="8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 spans="1:31" x14ac:dyDescent="0.15">
      <c r="A498" s="7"/>
      <c r="B498" s="7"/>
      <c r="C498" s="7"/>
      <c r="D498" s="8"/>
      <c r="E498" s="8"/>
      <c r="F498" s="8"/>
      <c r="G498" s="8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spans="1:31" x14ac:dyDescent="0.15">
      <c r="A499" s="7"/>
      <c r="B499" s="7"/>
      <c r="C499" s="7"/>
      <c r="D499" s="8"/>
      <c r="E499" s="8"/>
      <c r="F499" s="8"/>
      <c r="G499" s="8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spans="1:31" x14ac:dyDescent="0.15">
      <c r="A500" s="7"/>
      <c r="B500" s="7"/>
      <c r="C500" s="7"/>
      <c r="D500" s="8"/>
      <c r="E500" s="8"/>
      <c r="F500" s="8"/>
      <c r="G500" s="8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spans="1:31" x14ac:dyDescent="0.15">
      <c r="A501" s="7"/>
      <c r="B501" s="7"/>
      <c r="C501" s="7"/>
      <c r="D501" s="8"/>
      <c r="E501" s="8"/>
      <c r="F501" s="8"/>
      <c r="G501" s="8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spans="1:31" x14ac:dyDescent="0.15">
      <c r="A502" s="7"/>
      <c r="B502" s="7"/>
      <c r="C502" s="7"/>
      <c r="D502" s="8"/>
      <c r="E502" s="8"/>
      <c r="F502" s="8"/>
      <c r="G502" s="8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 spans="1:31" x14ac:dyDescent="0.15">
      <c r="A503" s="7"/>
      <c r="B503" s="7"/>
      <c r="C503" s="7"/>
      <c r="D503" s="8"/>
      <c r="E503" s="8"/>
      <c r="F503" s="8"/>
      <c r="G503" s="8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spans="1:31" x14ac:dyDescent="0.15">
      <c r="A504" s="7"/>
      <c r="B504" s="7"/>
      <c r="C504" s="7"/>
      <c r="D504" s="8"/>
      <c r="E504" s="8"/>
      <c r="F504" s="8"/>
      <c r="G504" s="8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spans="1:31" x14ac:dyDescent="0.15">
      <c r="A505" s="7"/>
      <c r="B505" s="7"/>
      <c r="C505" s="7"/>
      <c r="D505" s="8"/>
      <c r="E505" s="8"/>
      <c r="F505" s="8"/>
      <c r="G505" s="8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spans="1:31" x14ac:dyDescent="0.15">
      <c r="A506" s="7"/>
      <c r="B506" s="7"/>
      <c r="C506" s="7"/>
      <c r="D506" s="8"/>
      <c r="E506" s="8"/>
      <c r="F506" s="8"/>
      <c r="G506" s="8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spans="1:31" x14ac:dyDescent="0.15">
      <c r="A507" s="7"/>
      <c r="B507" s="7"/>
      <c r="C507" s="7"/>
      <c r="D507" s="8"/>
      <c r="E507" s="8"/>
      <c r="F507" s="8"/>
      <c r="G507" s="8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 spans="1:31" x14ac:dyDescent="0.15">
      <c r="A508" s="7"/>
      <c r="B508" s="7"/>
      <c r="C508" s="7"/>
      <c r="D508" s="8"/>
      <c r="E508" s="8"/>
      <c r="F508" s="8"/>
      <c r="G508" s="8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spans="1:31" x14ac:dyDescent="0.15">
      <c r="A509" s="7"/>
      <c r="B509" s="7"/>
      <c r="C509" s="7"/>
      <c r="D509" s="8"/>
      <c r="E509" s="8"/>
      <c r="F509" s="8"/>
      <c r="G509" s="8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spans="1:31" x14ac:dyDescent="0.15">
      <c r="A510" s="7"/>
      <c r="B510" s="7"/>
      <c r="C510" s="7"/>
      <c r="D510" s="8"/>
      <c r="E510" s="8"/>
      <c r="F510" s="8"/>
      <c r="G510" s="8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spans="1:31" x14ac:dyDescent="0.15">
      <c r="A511" s="7"/>
      <c r="B511" s="7"/>
      <c r="C511" s="7"/>
      <c r="D511" s="8"/>
      <c r="E511" s="8"/>
      <c r="F511" s="8"/>
      <c r="G511" s="8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spans="1:31" x14ac:dyDescent="0.15">
      <c r="A512" s="7"/>
      <c r="B512" s="7"/>
      <c r="C512" s="7"/>
      <c r="D512" s="8"/>
      <c r="E512" s="8"/>
      <c r="F512" s="8"/>
      <c r="G512" s="8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 spans="1:31" x14ac:dyDescent="0.15">
      <c r="A513" s="7"/>
      <c r="B513" s="7"/>
      <c r="C513" s="7"/>
      <c r="D513" s="8"/>
      <c r="E513" s="8"/>
      <c r="F513" s="8"/>
      <c r="G513" s="8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spans="1:31" x14ac:dyDescent="0.15">
      <c r="A514" s="7"/>
      <c r="B514" s="7"/>
      <c r="C514" s="7"/>
      <c r="D514" s="8"/>
      <c r="E514" s="8"/>
      <c r="F514" s="8"/>
      <c r="G514" s="8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spans="1:31" x14ac:dyDescent="0.15">
      <c r="A515" s="7"/>
      <c r="B515" s="7"/>
      <c r="C515" s="7"/>
      <c r="D515" s="8"/>
      <c r="E515" s="8"/>
      <c r="F515" s="8"/>
      <c r="G515" s="8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spans="1:31" x14ac:dyDescent="0.15">
      <c r="A516" s="7"/>
      <c r="B516" s="7"/>
      <c r="C516" s="7"/>
      <c r="D516" s="8"/>
      <c r="E516" s="8"/>
      <c r="F516" s="8"/>
      <c r="G516" s="8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spans="1:31" x14ac:dyDescent="0.15">
      <c r="A517" s="7"/>
      <c r="B517" s="7"/>
      <c r="C517" s="7"/>
      <c r="D517" s="8"/>
      <c r="E517" s="8"/>
      <c r="F517" s="8"/>
      <c r="G517" s="8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 spans="1:31" x14ac:dyDescent="0.15">
      <c r="A518" s="7"/>
      <c r="B518" s="7"/>
      <c r="C518" s="7"/>
      <c r="D518" s="8"/>
      <c r="E518" s="8"/>
      <c r="F518" s="8"/>
      <c r="G518" s="8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spans="1:31" x14ac:dyDescent="0.15">
      <c r="A519" s="7"/>
      <c r="B519" s="7"/>
      <c r="C519" s="7"/>
      <c r="D519" s="8"/>
      <c r="E519" s="8"/>
      <c r="F519" s="8"/>
      <c r="G519" s="8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spans="1:31" x14ac:dyDescent="0.15">
      <c r="A520" s="7"/>
      <c r="B520" s="7"/>
      <c r="C520" s="7"/>
      <c r="D520" s="8"/>
      <c r="E520" s="8"/>
      <c r="F520" s="8"/>
      <c r="G520" s="8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spans="1:31" x14ac:dyDescent="0.15">
      <c r="A521" s="7"/>
      <c r="B521" s="7"/>
      <c r="C521" s="7"/>
      <c r="D521" s="8"/>
      <c r="E521" s="8"/>
      <c r="F521" s="8"/>
      <c r="G521" s="8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spans="1:31" x14ac:dyDescent="0.15">
      <c r="A522" s="7"/>
      <c r="B522" s="7"/>
      <c r="C522" s="7"/>
      <c r="D522" s="8"/>
      <c r="E522" s="8"/>
      <c r="F522" s="8"/>
      <c r="G522" s="8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 spans="1:31" x14ac:dyDescent="0.15">
      <c r="A523" s="7"/>
      <c r="B523" s="7"/>
      <c r="C523" s="7"/>
      <c r="D523" s="8"/>
      <c r="E523" s="8"/>
      <c r="F523" s="8"/>
      <c r="G523" s="8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spans="1:31" x14ac:dyDescent="0.15">
      <c r="A524" s="7"/>
      <c r="B524" s="7"/>
      <c r="C524" s="7"/>
      <c r="D524" s="8"/>
      <c r="E524" s="8"/>
      <c r="F524" s="8"/>
      <c r="G524" s="8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spans="1:31" x14ac:dyDescent="0.15">
      <c r="A525" s="7"/>
      <c r="B525" s="7"/>
      <c r="C525" s="7"/>
      <c r="D525" s="8"/>
      <c r="E525" s="8"/>
      <c r="F525" s="8"/>
      <c r="G525" s="8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spans="1:31" x14ac:dyDescent="0.15">
      <c r="A526" s="7"/>
      <c r="B526" s="7"/>
      <c r="C526" s="7"/>
      <c r="D526" s="8"/>
      <c r="E526" s="8"/>
      <c r="F526" s="8"/>
      <c r="G526" s="8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spans="1:31" x14ac:dyDescent="0.15">
      <c r="A527" s="7"/>
      <c r="B527" s="7"/>
      <c r="C527" s="7"/>
      <c r="D527" s="8"/>
      <c r="E527" s="8"/>
      <c r="F527" s="8"/>
      <c r="G527" s="8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 spans="1:31" x14ac:dyDescent="0.15">
      <c r="A528" s="7"/>
      <c r="B528" s="7"/>
      <c r="C528" s="7"/>
      <c r="D528" s="8"/>
      <c r="E528" s="8"/>
      <c r="F528" s="8"/>
      <c r="G528" s="8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spans="1:31" x14ac:dyDescent="0.15">
      <c r="A529" s="7"/>
      <c r="B529" s="7"/>
      <c r="C529" s="7"/>
      <c r="D529" s="8"/>
      <c r="E529" s="8"/>
      <c r="F529" s="8"/>
      <c r="G529" s="8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spans="1:31" x14ac:dyDescent="0.15">
      <c r="A530" s="7"/>
      <c r="B530" s="7"/>
      <c r="C530" s="7"/>
      <c r="D530" s="8"/>
      <c r="E530" s="8"/>
      <c r="F530" s="8"/>
      <c r="G530" s="8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spans="1:31" x14ac:dyDescent="0.15">
      <c r="A531" s="7"/>
      <c r="B531" s="7"/>
      <c r="C531" s="7"/>
      <c r="D531" s="8"/>
      <c r="E531" s="8"/>
      <c r="F531" s="8"/>
      <c r="G531" s="8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spans="1:31" x14ac:dyDescent="0.15">
      <c r="A532" s="7"/>
      <c r="B532" s="7"/>
      <c r="C532" s="7"/>
      <c r="D532" s="8"/>
      <c r="E532" s="8"/>
      <c r="F532" s="8"/>
      <c r="G532" s="8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 spans="1:31" x14ac:dyDescent="0.15">
      <c r="A533" s="7"/>
      <c r="B533" s="7"/>
      <c r="C533" s="7"/>
      <c r="D533" s="8"/>
      <c r="E533" s="8"/>
      <c r="F533" s="8"/>
      <c r="G533" s="8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spans="1:31" x14ac:dyDescent="0.15">
      <c r="A534" s="7"/>
      <c r="B534" s="7"/>
      <c r="C534" s="7"/>
      <c r="D534" s="8"/>
      <c r="E534" s="8"/>
      <c r="F534" s="8"/>
      <c r="G534" s="8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spans="1:31" x14ac:dyDescent="0.15">
      <c r="A535" s="7"/>
      <c r="B535" s="7"/>
      <c r="C535" s="7"/>
      <c r="D535" s="8"/>
      <c r="E535" s="8"/>
      <c r="F535" s="8"/>
      <c r="G535" s="8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spans="1:31" x14ac:dyDescent="0.15">
      <c r="A536" s="7"/>
      <c r="B536" s="7"/>
      <c r="C536" s="7"/>
      <c r="D536" s="8"/>
      <c r="E536" s="8"/>
      <c r="F536" s="8"/>
      <c r="G536" s="8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spans="1:31" x14ac:dyDescent="0.15">
      <c r="A537" s="7"/>
      <c r="B537" s="7"/>
      <c r="C537" s="7"/>
      <c r="D537" s="8"/>
      <c r="E537" s="8"/>
      <c r="F537" s="8"/>
      <c r="G537" s="8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 spans="1:31" x14ac:dyDescent="0.15">
      <c r="A538" s="7"/>
      <c r="B538" s="7"/>
      <c r="C538" s="7"/>
      <c r="D538" s="8"/>
      <c r="E538" s="8"/>
      <c r="F538" s="8"/>
      <c r="G538" s="8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spans="1:31" x14ac:dyDescent="0.15">
      <c r="A539" s="7"/>
      <c r="B539" s="7"/>
      <c r="C539" s="7"/>
      <c r="D539" s="8"/>
      <c r="E539" s="8"/>
      <c r="F539" s="8"/>
      <c r="G539" s="8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spans="1:31" x14ac:dyDescent="0.15">
      <c r="A540" s="7"/>
      <c r="B540" s="7"/>
      <c r="C540" s="7"/>
      <c r="D540" s="8"/>
      <c r="E540" s="8"/>
      <c r="F540" s="8"/>
      <c r="G540" s="8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spans="1:31" x14ac:dyDescent="0.15">
      <c r="A541" s="7"/>
      <c r="B541" s="7"/>
      <c r="C541" s="7"/>
      <c r="D541" s="8"/>
      <c r="E541" s="8"/>
      <c r="F541" s="8"/>
      <c r="G541" s="8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spans="1:31" x14ac:dyDescent="0.15">
      <c r="A542" s="7"/>
      <c r="B542" s="7"/>
      <c r="C542" s="7"/>
      <c r="D542" s="8"/>
      <c r="E542" s="8"/>
      <c r="F542" s="8"/>
      <c r="G542" s="8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 spans="1:31" x14ac:dyDescent="0.15">
      <c r="A543" s="7"/>
      <c r="B543" s="7"/>
      <c r="C543" s="7"/>
      <c r="D543" s="8"/>
      <c r="E543" s="8"/>
      <c r="F543" s="8"/>
      <c r="G543" s="8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spans="1:31" x14ac:dyDescent="0.15">
      <c r="A544" s="7"/>
      <c r="B544" s="7"/>
      <c r="C544" s="7"/>
      <c r="D544" s="8"/>
      <c r="E544" s="8"/>
      <c r="F544" s="8"/>
      <c r="G544" s="8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spans="1:31" x14ac:dyDescent="0.15">
      <c r="A545" s="7"/>
      <c r="B545" s="7"/>
      <c r="C545" s="7"/>
      <c r="D545" s="8"/>
      <c r="E545" s="8"/>
      <c r="F545" s="8"/>
      <c r="G545" s="8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spans="1:31" x14ac:dyDescent="0.15">
      <c r="A546" s="7"/>
      <c r="B546" s="7"/>
      <c r="C546" s="7"/>
      <c r="D546" s="8"/>
      <c r="E546" s="8"/>
      <c r="F546" s="8"/>
      <c r="G546" s="8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spans="1:31" x14ac:dyDescent="0.15">
      <c r="A547" s="7"/>
      <c r="B547" s="7"/>
      <c r="C547" s="7"/>
      <c r="D547" s="8"/>
      <c r="E547" s="8"/>
      <c r="F547" s="8"/>
      <c r="G547" s="8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 spans="1:31" x14ac:dyDescent="0.15">
      <c r="A548" s="7"/>
      <c r="B548" s="7"/>
      <c r="C548" s="7"/>
      <c r="D548" s="8"/>
      <c r="E548" s="8"/>
      <c r="F548" s="8"/>
      <c r="G548" s="8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spans="1:31" x14ac:dyDescent="0.15">
      <c r="A549" s="7"/>
      <c r="B549" s="7"/>
      <c r="C549" s="7"/>
      <c r="D549" s="8"/>
      <c r="E549" s="8"/>
      <c r="F549" s="8"/>
      <c r="G549" s="8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spans="1:31" x14ac:dyDescent="0.15">
      <c r="A550" s="7"/>
      <c r="B550" s="7"/>
      <c r="C550" s="7"/>
      <c r="D550" s="8"/>
      <c r="E550" s="8"/>
      <c r="F550" s="8"/>
      <c r="G550" s="8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spans="1:31" x14ac:dyDescent="0.15">
      <c r="A551" s="7"/>
      <c r="B551" s="7"/>
      <c r="C551" s="7"/>
      <c r="D551" s="8"/>
      <c r="E551" s="8"/>
      <c r="F551" s="8"/>
      <c r="G551" s="8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spans="1:31" x14ac:dyDescent="0.15">
      <c r="A552" s="7"/>
      <c r="B552" s="7"/>
      <c r="C552" s="7"/>
      <c r="D552" s="8"/>
      <c r="E552" s="8"/>
      <c r="F552" s="8"/>
      <c r="G552" s="8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 spans="1:31" x14ac:dyDescent="0.15">
      <c r="A553" s="7"/>
      <c r="B553" s="7"/>
      <c r="C553" s="7"/>
      <c r="D553" s="8"/>
      <c r="E553" s="8"/>
      <c r="F553" s="8"/>
      <c r="G553" s="8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spans="1:31" x14ac:dyDescent="0.15">
      <c r="A554" s="7"/>
      <c r="B554" s="7"/>
      <c r="C554" s="7"/>
      <c r="D554" s="8"/>
      <c r="E554" s="8"/>
      <c r="F554" s="8"/>
      <c r="G554" s="8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spans="1:31" x14ac:dyDescent="0.15">
      <c r="A555" s="7"/>
      <c r="B555" s="7"/>
      <c r="C555" s="7"/>
      <c r="D555" s="8"/>
      <c r="E555" s="8"/>
      <c r="F555" s="8"/>
      <c r="G555" s="8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spans="1:31" x14ac:dyDescent="0.15">
      <c r="A556" s="7"/>
      <c r="B556" s="7"/>
      <c r="C556" s="7"/>
      <c r="D556" s="8"/>
      <c r="E556" s="8"/>
      <c r="F556" s="8"/>
      <c r="G556" s="8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spans="1:31" x14ac:dyDescent="0.15">
      <c r="A557" s="7"/>
      <c r="B557" s="7"/>
      <c r="C557" s="7"/>
      <c r="D557" s="8"/>
      <c r="E557" s="8"/>
      <c r="F557" s="8"/>
      <c r="G557" s="8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 spans="1:31" x14ac:dyDescent="0.15">
      <c r="A558" s="7"/>
      <c r="B558" s="7"/>
      <c r="C558" s="7"/>
      <c r="D558" s="8"/>
      <c r="E558" s="8"/>
      <c r="F558" s="8"/>
      <c r="G558" s="8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spans="1:31" x14ac:dyDescent="0.15">
      <c r="A559" s="7"/>
      <c r="B559" s="7"/>
      <c r="C559" s="7"/>
      <c r="D559" s="8"/>
      <c r="E559" s="8"/>
      <c r="F559" s="8"/>
      <c r="G559" s="8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spans="1:31" x14ac:dyDescent="0.15">
      <c r="A560" s="7"/>
      <c r="B560" s="7"/>
      <c r="C560" s="7"/>
      <c r="D560" s="8"/>
      <c r="E560" s="8"/>
      <c r="F560" s="8"/>
      <c r="G560" s="8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spans="1:31" x14ac:dyDescent="0.15">
      <c r="A561" s="7"/>
      <c r="B561" s="7"/>
      <c r="C561" s="7"/>
      <c r="D561" s="8"/>
      <c r="E561" s="8"/>
      <c r="F561" s="8"/>
      <c r="G561" s="8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spans="1:31" x14ac:dyDescent="0.15">
      <c r="A562" s="7"/>
      <c r="B562" s="7"/>
      <c r="C562" s="7"/>
      <c r="D562" s="8"/>
      <c r="E562" s="8"/>
      <c r="F562" s="8"/>
      <c r="G562" s="8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 spans="1:31" x14ac:dyDescent="0.15">
      <c r="A563" s="7"/>
      <c r="B563" s="7"/>
      <c r="C563" s="7"/>
      <c r="D563" s="8"/>
      <c r="E563" s="8"/>
      <c r="F563" s="8"/>
      <c r="G563" s="8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spans="1:31" x14ac:dyDescent="0.15">
      <c r="A564" s="7"/>
      <c r="B564" s="7"/>
      <c r="C564" s="7"/>
      <c r="D564" s="8"/>
      <c r="E564" s="8"/>
      <c r="F564" s="8"/>
      <c r="G564" s="8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spans="1:31" x14ac:dyDescent="0.15">
      <c r="A565" s="7"/>
      <c r="B565" s="7"/>
      <c r="C565" s="7"/>
      <c r="D565" s="8"/>
      <c r="E565" s="8"/>
      <c r="F565" s="8"/>
      <c r="G565" s="8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spans="1:31" x14ac:dyDescent="0.15">
      <c r="A566" s="7"/>
      <c r="B566" s="7"/>
      <c r="C566" s="7"/>
      <c r="D566" s="8"/>
      <c r="E566" s="8"/>
      <c r="F566" s="8"/>
      <c r="G566" s="8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spans="1:31" x14ac:dyDescent="0.15">
      <c r="A567" s="7"/>
      <c r="B567" s="7"/>
      <c r="C567" s="7"/>
      <c r="D567" s="8"/>
      <c r="E567" s="8"/>
      <c r="F567" s="8"/>
      <c r="G567" s="8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 spans="1:31" x14ac:dyDescent="0.15">
      <c r="A568" s="7"/>
      <c r="B568" s="7"/>
      <c r="C568" s="7"/>
      <c r="D568" s="8"/>
      <c r="E568" s="8"/>
      <c r="F568" s="8"/>
      <c r="G568" s="8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spans="1:31" x14ac:dyDescent="0.15">
      <c r="A569" s="7"/>
      <c r="B569" s="7"/>
      <c r="C569" s="7"/>
      <c r="D569" s="8"/>
      <c r="E569" s="8"/>
      <c r="F569" s="8"/>
      <c r="G569" s="8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spans="1:31" x14ac:dyDescent="0.15">
      <c r="A570" s="7"/>
      <c r="B570" s="7"/>
      <c r="C570" s="7"/>
      <c r="D570" s="8"/>
      <c r="E570" s="8"/>
      <c r="F570" s="8"/>
      <c r="G570" s="8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spans="1:31" x14ac:dyDescent="0.15">
      <c r="A571" s="7"/>
      <c r="B571" s="7"/>
      <c r="C571" s="7"/>
      <c r="D571" s="8"/>
      <c r="E571" s="8"/>
      <c r="F571" s="8"/>
      <c r="G571" s="8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spans="1:31" x14ac:dyDescent="0.15">
      <c r="A572" s="7"/>
      <c r="B572" s="7"/>
      <c r="C572" s="7"/>
      <c r="D572" s="8"/>
      <c r="E572" s="8"/>
      <c r="F572" s="8"/>
      <c r="G572" s="8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 spans="1:31" x14ac:dyDescent="0.15">
      <c r="A573" s="7"/>
      <c r="B573" s="7"/>
      <c r="C573" s="7"/>
      <c r="D573" s="8"/>
      <c r="E573" s="8"/>
      <c r="F573" s="8"/>
      <c r="G573" s="8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spans="1:31" x14ac:dyDescent="0.15">
      <c r="A574" s="7"/>
      <c r="B574" s="7"/>
      <c r="C574" s="7"/>
      <c r="D574" s="8"/>
      <c r="E574" s="8"/>
      <c r="F574" s="8"/>
      <c r="G574" s="8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spans="1:31" x14ac:dyDescent="0.15">
      <c r="A575" s="7"/>
      <c r="B575" s="7"/>
      <c r="C575" s="7"/>
      <c r="D575" s="8"/>
      <c r="E575" s="8"/>
      <c r="F575" s="8"/>
      <c r="G575" s="8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spans="1:31" x14ac:dyDescent="0.15">
      <c r="A576" s="7"/>
      <c r="B576" s="7"/>
      <c r="C576" s="7"/>
      <c r="D576" s="8"/>
      <c r="E576" s="8"/>
      <c r="F576" s="8"/>
      <c r="G576" s="8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spans="1:31" x14ac:dyDescent="0.15">
      <c r="A577" s="7"/>
      <c r="B577" s="7"/>
      <c r="C577" s="7"/>
      <c r="D577" s="8"/>
      <c r="E577" s="8"/>
      <c r="F577" s="8"/>
      <c r="G577" s="8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 spans="1:31" x14ac:dyDescent="0.15">
      <c r="A578" s="7"/>
      <c r="B578" s="7"/>
      <c r="C578" s="7"/>
      <c r="D578" s="8"/>
      <c r="E578" s="8"/>
      <c r="F578" s="8"/>
      <c r="G578" s="8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spans="1:31" x14ac:dyDescent="0.15">
      <c r="A579" s="7"/>
      <c r="B579" s="7"/>
      <c r="C579" s="7"/>
      <c r="D579" s="8"/>
      <c r="E579" s="8"/>
      <c r="F579" s="8"/>
      <c r="G579" s="8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spans="1:31" x14ac:dyDescent="0.15">
      <c r="A580" s="7"/>
      <c r="B580" s="7"/>
      <c r="C580" s="7"/>
      <c r="D580" s="8"/>
      <c r="E580" s="8"/>
      <c r="F580" s="8"/>
      <c r="G580" s="8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spans="1:31" x14ac:dyDescent="0.15">
      <c r="A581" s="7"/>
      <c r="B581" s="7"/>
      <c r="C581" s="7"/>
      <c r="D581" s="8"/>
      <c r="E581" s="8"/>
      <c r="F581" s="8"/>
      <c r="G581" s="8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spans="1:31" x14ac:dyDescent="0.15">
      <c r="A582" s="7"/>
      <c r="B582" s="7"/>
      <c r="C582" s="7"/>
      <c r="D582" s="8"/>
      <c r="E582" s="8"/>
      <c r="F582" s="8"/>
      <c r="G582" s="8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 spans="1:31" x14ac:dyDescent="0.15">
      <c r="A583" s="7"/>
      <c r="B583" s="7"/>
      <c r="C583" s="7"/>
      <c r="D583" s="8"/>
      <c r="E583" s="8"/>
      <c r="F583" s="8"/>
      <c r="G583" s="8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spans="1:31" x14ac:dyDescent="0.15">
      <c r="A584" s="7"/>
      <c r="B584" s="7"/>
      <c r="C584" s="7"/>
      <c r="D584" s="8"/>
      <c r="E584" s="8"/>
      <c r="F584" s="8"/>
      <c r="G584" s="8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spans="1:31" x14ac:dyDescent="0.15">
      <c r="A585" s="7"/>
      <c r="B585" s="7"/>
      <c r="C585" s="7"/>
      <c r="D585" s="8"/>
      <c r="E585" s="8"/>
      <c r="F585" s="8"/>
      <c r="G585" s="8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spans="1:31" x14ac:dyDescent="0.15">
      <c r="A586" s="7"/>
      <c r="B586" s="7"/>
      <c r="C586" s="7"/>
      <c r="D586" s="8"/>
      <c r="E586" s="8"/>
      <c r="F586" s="8"/>
      <c r="G586" s="8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spans="1:31" x14ac:dyDescent="0.15">
      <c r="A587" s="7"/>
      <c r="B587" s="7"/>
      <c r="C587" s="7"/>
      <c r="D587" s="8"/>
      <c r="E587" s="8"/>
      <c r="F587" s="8"/>
      <c r="G587" s="8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 spans="1:31" x14ac:dyDescent="0.15">
      <c r="A588" s="7"/>
      <c r="B588" s="7"/>
      <c r="C588" s="7"/>
      <c r="D588" s="8"/>
      <c r="E588" s="8"/>
      <c r="F588" s="8"/>
      <c r="G588" s="8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spans="1:31" x14ac:dyDescent="0.15">
      <c r="A589" s="7"/>
      <c r="B589" s="7"/>
      <c r="C589" s="7"/>
      <c r="D589" s="8"/>
      <c r="E589" s="8"/>
      <c r="F589" s="8"/>
      <c r="G589" s="8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spans="1:31" x14ac:dyDescent="0.15">
      <c r="A590" s="7"/>
      <c r="B590" s="7"/>
      <c r="C590" s="7"/>
      <c r="D590" s="8"/>
      <c r="E590" s="8"/>
      <c r="F590" s="8"/>
      <c r="G590" s="8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spans="1:31" x14ac:dyDescent="0.15">
      <c r="A591" s="7"/>
      <c r="B591" s="7"/>
      <c r="C591" s="7"/>
      <c r="D591" s="8"/>
      <c r="E591" s="8"/>
      <c r="F591" s="8"/>
      <c r="G591" s="8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spans="1:31" x14ac:dyDescent="0.15">
      <c r="A592" s="7"/>
      <c r="B592" s="7"/>
      <c r="C592" s="7"/>
      <c r="D592" s="8"/>
      <c r="E592" s="8"/>
      <c r="F592" s="8"/>
      <c r="G592" s="8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 spans="1:31" x14ac:dyDescent="0.15">
      <c r="A593" s="7"/>
      <c r="B593" s="7"/>
      <c r="C593" s="7"/>
      <c r="D593" s="8"/>
      <c r="E593" s="8"/>
      <c r="F593" s="8"/>
      <c r="G593" s="8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spans="1:31" x14ac:dyDescent="0.15">
      <c r="A594" s="7"/>
      <c r="B594" s="7"/>
      <c r="C594" s="7"/>
      <c r="D594" s="8"/>
      <c r="E594" s="8"/>
      <c r="F594" s="8"/>
      <c r="G594" s="8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spans="1:31" x14ac:dyDescent="0.15">
      <c r="A595" s="7"/>
      <c r="B595" s="7"/>
      <c r="C595" s="7"/>
      <c r="D595" s="8"/>
      <c r="E595" s="8"/>
      <c r="F595" s="8"/>
      <c r="G595" s="8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spans="1:31" x14ac:dyDescent="0.15">
      <c r="A596" s="7"/>
      <c r="B596" s="7"/>
      <c r="C596" s="7"/>
      <c r="D596" s="8"/>
      <c r="E596" s="8"/>
      <c r="F596" s="8"/>
      <c r="G596" s="8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spans="1:31" x14ac:dyDescent="0.15">
      <c r="A597" s="7"/>
      <c r="B597" s="7"/>
      <c r="C597" s="7"/>
      <c r="D597" s="8"/>
      <c r="E597" s="8"/>
      <c r="F597" s="8"/>
      <c r="G597" s="8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 spans="1:31" x14ac:dyDescent="0.15">
      <c r="A598" s="7"/>
      <c r="B598" s="7"/>
      <c r="C598" s="7"/>
      <c r="D598" s="8"/>
      <c r="E598" s="8"/>
      <c r="F598" s="8"/>
      <c r="G598" s="8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spans="1:31" x14ac:dyDescent="0.15">
      <c r="A599" s="7"/>
      <c r="B599" s="7"/>
      <c r="C599" s="7"/>
      <c r="D599" s="8"/>
      <c r="E599" s="8"/>
      <c r="F599" s="8"/>
      <c r="G599" s="8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spans="1:31" x14ac:dyDescent="0.15">
      <c r="A600" s="7"/>
      <c r="B600" s="7"/>
      <c r="C600" s="7"/>
      <c r="D600" s="8"/>
      <c r="E600" s="8"/>
      <c r="F600" s="8"/>
      <c r="G600" s="8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spans="1:31" x14ac:dyDescent="0.15">
      <c r="A601" s="7"/>
      <c r="B601" s="7"/>
      <c r="C601" s="7"/>
      <c r="D601" s="8"/>
      <c r="E601" s="8"/>
      <c r="F601" s="8"/>
      <c r="G601" s="8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spans="1:31" x14ac:dyDescent="0.15">
      <c r="A602" s="7"/>
      <c r="B602" s="7"/>
      <c r="C602" s="7"/>
      <c r="D602" s="8"/>
      <c r="E602" s="8"/>
      <c r="F602" s="8"/>
      <c r="G602" s="8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 spans="1:31" x14ac:dyDescent="0.15">
      <c r="A603" s="7"/>
      <c r="B603" s="7"/>
      <c r="C603" s="7"/>
      <c r="D603" s="8"/>
      <c r="E603" s="8"/>
      <c r="F603" s="8"/>
      <c r="G603" s="8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spans="1:31" x14ac:dyDescent="0.15">
      <c r="A604" s="7"/>
      <c r="B604" s="7"/>
      <c r="C604" s="7"/>
      <c r="D604" s="8"/>
      <c r="E604" s="8"/>
      <c r="F604" s="8"/>
      <c r="G604" s="8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spans="1:31" x14ac:dyDescent="0.15">
      <c r="A605" s="7"/>
      <c r="B605" s="7"/>
      <c r="C605" s="7"/>
      <c r="D605" s="8"/>
      <c r="E605" s="8"/>
      <c r="F605" s="8"/>
      <c r="G605" s="8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spans="1:31" x14ac:dyDescent="0.15">
      <c r="A606" s="7"/>
      <c r="B606" s="7"/>
      <c r="C606" s="7"/>
      <c r="D606" s="8"/>
      <c r="E606" s="8"/>
      <c r="F606" s="8"/>
      <c r="G606" s="8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spans="1:31" x14ac:dyDescent="0.15">
      <c r="A607" s="7"/>
      <c r="B607" s="7"/>
      <c r="C607" s="7"/>
      <c r="D607" s="8"/>
      <c r="E607" s="8"/>
      <c r="F607" s="8"/>
      <c r="G607" s="8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 spans="1:31" x14ac:dyDescent="0.15">
      <c r="A608" s="7"/>
      <c r="B608" s="7"/>
      <c r="C608" s="7"/>
      <c r="D608" s="8"/>
      <c r="E608" s="8"/>
      <c r="F608" s="8"/>
      <c r="G608" s="8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spans="1:31" x14ac:dyDescent="0.15">
      <c r="A609" s="7"/>
      <c r="B609" s="7"/>
      <c r="C609" s="7"/>
      <c r="D609" s="8"/>
      <c r="E609" s="8"/>
      <c r="F609" s="8"/>
      <c r="G609" s="8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spans="1:31" x14ac:dyDescent="0.15">
      <c r="A610" s="7"/>
      <c r="B610" s="7"/>
      <c r="C610" s="7"/>
      <c r="D610" s="8"/>
      <c r="E610" s="8"/>
      <c r="F610" s="8"/>
      <c r="G610" s="8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spans="1:31" x14ac:dyDescent="0.15">
      <c r="A611" s="7"/>
      <c r="B611" s="7"/>
      <c r="C611" s="7"/>
      <c r="D611" s="8"/>
      <c r="E611" s="8"/>
      <c r="F611" s="8"/>
      <c r="G611" s="8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spans="1:31" x14ac:dyDescent="0.15">
      <c r="A612" s="7"/>
      <c r="B612" s="7"/>
      <c r="C612" s="7"/>
      <c r="D612" s="8"/>
      <c r="E612" s="8"/>
      <c r="F612" s="8"/>
      <c r="G612" s="8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 spans="1:31" x14ac:dyDescent="0.15">
      <c r="A613" s="7"/>
      <c r="B613" s="7"/>
      <c r="C613" s="7"/>
      <c r="D613" s="8"/>
      <c r="E613" s="8"/>
      <c r="F613" s="8"/>
      <c r="G613" s="8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spans="1:31" x14ac:dyDescent="0.15">
      <c r="A614" s="7"/>
      <c r="B614" s="7"/>
      <c r="C614" s="7"/>
      <c r="D614" s="8"/>
      <c r="E614" s="8"/>
      <c r="F614" s="8"/>
      <c r="G614" s="8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spans="1:31" x14ac:dyDescent="0.15">
      <c r="A615" s="7"/>
      <c r="B615" s="7"/>
      <c r="C615" s="7"/>
      <c r="D615" s="8"/>
      <c r="E615" s="8"/>
      <c r="F615" s="8"/>
      <c r="G615" s="8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spans="1:31" x14ac:dyDescent="0.15">
      <c r="A616" s="7"/>
      <c r="B616" s="7"/>
      <c r="C616" s="7"/>
      <c r="D616" s="8"/>
      <c r="E616" s="8"/>
      <c r="F616" s="8"/>
      <c r="G616" s="8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spans="1:31" x14ac:dyDescent="0.15">
      <c r="A617" s="7"/>
      <c r="B617" s="7"/>
      <c r="C617" s="7"/>
      <c r="D617" s="8"/>
      <c r="E617" s="8"/>
      <c r="F617" s="8"/>
      <c r="G617" s="8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 spans="1:31" x14ac:dyDescent="0.15">
      <c r="A618" s="7"/>
      <c r="B618" s="7"/>
      <c r="C618" s="7"/>
      <c r="D618" s="8"/>
      <c r="E618" s="8"/>
      <c r="F618" s="8"/>
      <c r="G618" s="8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spans="1:31" x14ac:dyDescent="0.15">
      <c r="A619" s="7"/>
      <c r="B619" s="7"/>
      <c r="C619" s="7"/>
      <c r="D619" s="8"/>
      <c r="E619" s="8"/>
      <c r="F619" s="8"/>
      <c r="G619" s="8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spans="1:31" x14ac:dyDescent="0.15">
      <c r="A620" s="7"/>
      <c r="B620" s="7"/>
      <c r="C620" s="7"/>
      <c r="D620" s="8"/>
      <c r="E620" s="8"/>
      <c r="F620" s="8"/>
      <c r="G620" s="8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spans="1:31" x14ac:dyDescent="0.15">
      <c r="A621" s="7"/>
      <c r="B621" s="7"/>
      <c r="C621" s="7"/>
      <c r="D621" s="8"/>
      <c r="E621" s="8"/>
      <c r="F621" s="8"/>
      <c r="G621" s="8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spans="1:31" x14ac:dyDescent="0.15">
      <c r="A622" s="7"/>
      <c r="B622" s="7"/>
      <c r="C622" s="7"/>
      <c r="D622" s="8"/>
      <c r="E622" s="8"/>
      <c r="F622" s="8"/>
      <c r="G622" s="8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 spans="1:31" x14ac:dyDescent="0.15">
      <c r="A623" s="7"/>
      <c r="B623" s="7"/>
      <c r="C623" s="7"/>
      <c r="D623" s="8"/>
      <c r="E623" s="8"/>
      <c r="F623" s="8"/>
      <c r="G623" s="8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spans="1:31" x14ac:dyDescent="0.15">
      <c r="A624" s="7"/>
      <c r="B624" s="7"/>
      <c r="C624" s="7"/>
      <c r="D624" s="8"/>
      <c r="E624" s="8"/>
      <c r="F624" s="8"/>
      <c r="G624" s="8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spans="1:31" x14ac:dyDescent="0.15">
      <c r="A625" s="7"/>
      <c r="B625" s="7"/>
      <c r="C625" s="7"/>
      <c r="D625" s="8"/>
      <c r="E625" s="8"/>
      <c r="F625" s="8"/>
      <c r="G625" s="8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spans="1:31" x14ac:dyDescent="0.15">
      <c r="A626" s="7"/>
      <c r="B626" s="7"/>
      <c r="C626" s="7"/>
      <c r="D626" s="8"/>
      <c r="E626" s="8"/>
      <c r="F626" s="8"/>
      <c r="G626" s="8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spans="1:31" x14ac:dyDescent="0.15">
      <c r="A627" s="7"/>
      <c r="B627" s="7"/>
      <c r="C627" s="7"/>
      <c r="D627" s="8"/>
      <c r="E627" s="8"/>
      <c r="F627" s="8"/>
      <c r="G627" s="8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 spans="1:31" x14ac:dyDescent="0.15">
      <c r="A628" s="7"/>
      <c r="B628" s="7"/>
      <c r="C628" s="7"/>
      <c r="D628" s="8"/>
      <c r="E628" s="8"/>
      <c r="F628" s="8"/>
      <c r="G628" s="8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spans="1:31" x14ac:dyDescent="0.15">
      <c r="A629" s="7"/>
      <c r="B629" s="7"/>
      <c r="C629" s="7"/>
      <c r="D629" s="8"/>
      <c r="E629" s="8"/>
      <c r="F629" s="8"/>
      <c r="G629" s="8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spans="1:31" x14ac:dyDescent="0.15">
      <c r="A630" s="7"/>
      <c r="B630" s="7"/>
      <c r="C630" s="7"/>
      <c r="D630" s="8"/>
      <c r="E630" s="8"/>
      <c r="F630" s="8"/>
      <c r="G630" s="8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spans="1:31" x14ac:dyDescent="0.15">
      <c r="A631" s="7"/>
      <c r="B631" s="7"/>
      <c r="C631" s="7"/>
      <c r="D631" s="8"/>
      <c r="E631" s="8"/>
      <c r="F631" s="8"/>
      <c r="G631" s="8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spans="1:31" x14ac:dyDescent="0.15">
      <c r="A632" s="7"/>
      <c r="B632" s="7"/>
      <c r="C632" s="7"/>
      <c r="D632" s="8"/>
      <c r="E632" s="8"/>
      <c r="F632" s="8"/>
      <c r="G632" s="8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 spans="1:31" x14ac:dyDescent="0.15">
      <c r="A633" s="7"/>
      <c r="B633" s="7"/>
      <c r="C633" s="7"/>
      <c r="D633" s="8"/>
      <c r="E633" s="8"/>
      <c r="F633" s="8"/>
      <c r="G633" s="8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spans="1:31" x14ac:dyDescent="0.15">
      <c r="A634" s="7"/>
      <c r="B634" s="7"/>
      <c r="C634" s="7"/>
      <c r="D634" s="8"/>
      <c r="E634" s="8"/>
      <c r="F634" s="8"/>
      <c r="G634" s="8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spans="1:31" x14ac:dyDescent="0.15">
      <c r="A635" s="7"/>
      <c r="B635" s="7"/>
      <c r="C635" s="7"/>
      <c r="D635" s="8"/>
      <c r="E635" s="8"/>
      <c r="F635" s="8"/>
      <c r="G635" s="8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spans="1:31" x14ac:dyDescent="0.15">
      <c r="A636" s="7"/>
      <c r="B636" s="7"/>
      <c r="C636" s="7"/>
      <c r="D636" s="8"/>
      <c r="E636" s="8"/>
      <c r="F636" s="8"/>
      <c r="G636" s="8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spans="1:31" x14ac:dyDescent="0.15">
      <c r="A637" s="7"/>
      <c r="B637" s="7"/>
      <c r="C637" s="7"/>
      <c r="D637" s="8"/>
      <c r="E637" s="8"/>
      <c r="F637" s="8"/>
      <c r="G637" s="8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 spans="1:31" x14ac:dyDescent="0.15">
      <c r="A638" s="7"/>
      <c r="B638" s="7"/>
      <c r="C638" s="7"/>
      <c r="D638" s="8"/>
      <c r="E638" s="8"/>
      <c r="F638" s="8"/>
      <c r="G638" s="8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spans="1:31" x14ac:dyDescent="0.15">
      <c r="A639" s="7"/>
      <c r="B639" s="7"/>
      <c r="C639" s="7"/>
      <c r="D639" s="8"/>
      <c r="E639" s="8"/>
      <c r="F639" s="8"/>
      <c r="G639" s="8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spans="1:31" x14ac:dyDescent="0.15">
      <c r="A640" s="7"/>
      <c r="B640" s="7"/>
      <c r="C640" s="7"/>
      <c r="D640" s="8"/>
      <c r="E640" s="8"/>
      <c r="F640" s="8"/>
      <c r="G640" s="8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spans="1:31" x14ac:dyDescent="0.15">
      <c r="A641" s="7"/>
      <c r="B641" s="7"/>
      <c r="C641" s="7"/>
      <c r="D641" s="8"/>
      <c r="E641" s="8"/>
      <c r="F641" s="8"/>
      <c r="G641" s="8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spans="1:31" x14ac:dyDescent="0.15">
      <c r="A642" s="7"/>
      <c r="B642" s="7"/>
      <c r="C642" s="7"/>
      <c r="D642" s="8"/>
      <c r="E642" s="8"/>
      <c r="F642" s="8"/>
      <c r="G642" s="8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 spans="1:31" x14ac:dyDescent="0.15">
      <c r="A643" s="7"/>
      <c r="B643" s="7"/>
      <c r="C643" s="7"/>
      <c r="D643" s="8"/>
      <c r="E643" s="8"/>
      <c r="F643" s="8"/>
      <c r="G643" s="8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spans="1:31" x14ac:dyDescent="0.15">
      <c r="A644" s="7"/>
      <c r="B644" s="7"/>
      <c r="C644" s="7"/>
      <c r="D644" s="8"/>
      <c r="E644" s="8"/>
      <c r="F644" s="8"/>
      <c r="G644" s="8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spans="1:31" x14ac:dyDescent="0.15">
      <c r="A645" s="7"/>
      <c r="B645" s="7"/>
      <c r="C645" s="7"/>
      <c r="D645" s="8"/>
      <c r="E645" s="8"/>
      <c r="F645" s="8"/>
      <c r="G645" s="8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spans="1:31" x14ac:dyDescent="0.15">
      <c r="A646" s="7"/>
      <c r="B646" s="7"/>
      <c r="C646" s="7"/>
      <c r="D646" s="8"/>
      <c r="E646" s="8"/>
      <c r="F646" s="8"/>
      <c r="G646" s="8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spans="1:31" x14ac:dyDescent="0.15">
      <c r="A647" s="7"/>
      <c r="B647" s="7"/>
      <c r="C647" s="7"/>
      <c r="D647" s="8"/>
      <c r="E647" s="8"/>
      <c r="F647" s="8"/>
      <c r="G647" s="8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 spans="1:31" x14ac:dyDescent="0.15">
      <c r="A648" s="7"/>
      <c r="B648" s="7"/>
      <c r="C648" s="7"/>
      <c r="D648" s="8"/>
      <c r="E648" s="8"/>
      <c r="F648" s="8"/>
      <c r="G648" s="8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spans="1:31" x14ac:dyDescent="0.15">
      <c r="A649" s="7"/>
      <c r="B649" s="7"/>
      <c r="C649" s="7"/>
      <c r="D649" s="8"/>
      <c r="E649" s="8"/>
      <c r="F649" s="8"/>
      <c r="G649" s="8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spans="1:31" x14ac:dyDescent="0.15">
      <c r="A650" s="7"/>
      <c r="B650" s="7"/>
      <c r="C650" s="7"/>
      <c r="D650" s="8"/>
      <c r="E650" s="8"/>
      <c r="F650" s="8"/>
      <c r="G650" s="8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spans="1:31" x14ac:dyDescent="0.15">
      <c r="A651" s="7"/>
      <c r="B651" s="7"/>
      <c r="C651" s="7"/>
      <c r="D651" s="8"/>
      <c r="E651" s="8"/>
      <c r="F651" s="8"/>
      <c r="G651" s="8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spans="1:31" x14ac:dyDescent="0.15">
      <c r="A652" s="7"/>
      <c r="B652" s="7"/>
      <c r="C652" s="7"/>
      <c r="D652" s="8"/>
      <c r="E652" s="8"/>
      <c r="F652" s="8"/>
      <c r="G652" s="8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 spans="1:31" x14ac:dyDescent="0.15">
      <c r="A653" s="7"/>
      <c r="B653" s="7"/>
      <c r="C653" s="7"/>
      <c r="D653" s="8"/>
      <c r="E653" s="8"/>
      <c r="F653" s="8"/>
      <c r="G653" s="8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spans="1:31" x14ac:dyDescent="0.15">
      <c r="A654" s="7"/>
      <c r="B654" s="7"/>
      <c r="C654" s="7"/>
      <c r="D654" s="8"/>
      <c r="E654" s="8"/>
      <c r="F654" s="8"/>
      <c r="G654" s="8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spans="1:31" x14ac:dyDescent="0.15">
      <c r="A655" s="7"/>
      <c r="B655" s="7"/>
      <c r="C655" s="7"/>
      <c r="D655" s="8"/>
      <c r="E655" s="8"/>
      <c r="F655" s="8"/>
      <c r="G655" s="8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spans="1:31" x14ac:dyDescent="0.15">
      <c r="A656" s="7"/>
      <c r="B656" s="7"/>
      <c r="C656" s="7"/>
      <c r="D656" s="8"/>
      <c r="E656" s="8"/>
      <c r="F656" s="8"/>
      <c r="G656" s="8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spans="1:31" x14ac:dyDescent="0.15">
      <c r="A657" s="7"/>
      <c r="B657" s="7"/>
      <c r="C657" s="7"/>
      <c r="D657" s="8"/>
      <c r="E657" s="8"/>
      <c r="F657" s="8"/>
      <c r="G657" s="8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 spans="1:31" x14ac:dyDescent="0.15">
      <c r="A658" s="7"/>
      <c r="B658" s="7"/>
      <c r="C658" s="7"/>
      <c r="D658" s="8"/>
      <c r="E658" s="8"/>
      <c r="F658" s="8"/>
      <c r="G658" s="8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 spans="1:31" x14ac:dyDescent="0.15">
      <c r="A659" s="7"/>
      <c r="B659" s="7"/>
      <c r="C659" s="7"/>
      <c r="D659" s="8"/>
      <c r="E659" s="8"/>
      <c r="F659" s="8"/>
      <c r="G659" s="8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 spans="1:31" x14ac:dyDescent="0.15">
      <c r="A660" s="7"/>
      <c r="B660" s="7"/>
      <c r="C660" s="7"/>
      <c r="D660" s="8"/>
      <c r="E660" s="8"/>
      <c r="F660" s="8"/>
      <c r="G660" s="8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 spans="1:31" x14ac:dyDescent="0.15">
      <c r="A661" s="7"/>
      <c r="B661" s="7"/>
      <c r="C661" s="7"/>
      <c r="D661" s="8"/>
      <c r="E661" s="8"/>
      <c r="F661" s="8"/>
      <c r="G661" s="8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 spans="1:31" x14ac:dyDescent="0.15">
      <c r="A662" s="7"/>
      <c r="B662" s="7"/>
      <c r="C662" s="7"/>
      <c r="D662" s="8"/>
      <c r="E662" s="8"/>
      <c r="F662" s="8"/>
      <c r="G662" s="8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 spans="1:31" x14ac:dyDescent="0.15">
      <c r="A663" s="7"/>
      <c r="B663" s="7"/>
      <c r="C663" s="7"/>
      <c r="D663" s="8"/>
      <c r="E663" s="8"/>
      <c r="F663" s="8"/>
      <c r="G663" s="8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 spans="1:31" x14ac:dyDescent="0.15">
      <c r="A664" s="7"/>
      <c r="B664" s="7"/>
      <c r="C664" s="7"/>
      <c r="D664" s="8"/>
      <c r="E664" s="8"/>
      <c r="F664" s="8"/>
      <c r="G664" s="8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 spans="1:31" x14ac:dyDescent="0.15">
      <c r="A665" s="7"/>
      <c r="B665" s="7"/>
      <c r="C665" s="7"/>
      <c r="D665" s="8"/>
      <c r="E665" s="8"/>
      <c r="F665" s="8"/>
      <c r="G665" s="8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 spans="1:31" x14ac:dyDescent="0.15">
      <c r="A666" s="7"/>
      <c r="B666" s="7"/>
      <c r="C666" s="7"/>
      <c r="D666" s="8"/>
      <c r="E666" s="8"/>
      <c r="F666" s="8"/>
      <c r="G666" s="8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 spans="1:31" x14ac:dyDescent="0.15">
      <c r="A667" s="7"/>
      <c r="B667" s="7"/>
      <c r="C667" s="7"/>
      <c r="D667" s="8"/>
      <c r="E667" s="8"/>
      <c r="F667" s="8"/>
      <c r="G667" s="8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 spans="1:31" x14ac:dyDescent="0.15">
      <c r="A668" s="7"/>
      <c r="B668" s="7"/>
      <c r="C668" s="7"/>
      <c r="D668" s="8"/>
      <c r="E668" s="8"/>
      <c r="F668" s="8"/>
      <c r="G668" s="8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 spans="1:31" x14ac:dyDescent="0.15">
      <c r="A669" s="7"/>
      <c r="B669" s="7"/>
      <c r="C669" s="7"/>
      <c r="D669" s="8"/>
      <c r="E669" s="8"/>
      <c r="F669" s="8"/>
      <c r="G669" s="8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 spans="1:31" x14ac:dyDescent="0.15">
      <c r="A670" s="7"/>
      <c r="B670" s="7"/>
      <c r="C670" s="7"/>
      <c r="D670" s="8"/>
      <c r="E670" s="8"/>
      <c r="F670" s="8"/>
      <c r="G670" s="8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 spans="1:31" x14ac:dyDescent="0.15">
      <c r="A671" s="7"/>
      <c r="B671" s="7"/>
      <c r="C671" s="7"/>
      <c r="D671" s="8"/>
      <c r="E671" s="8"/>
      <c r="F671" s="8"/>
      <c r="G671" s="8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 spans="1:31" x14ac:dyDescent="0.15">
      <c r="A672" s="7"/>
      <c r="B672" s="7"/>
      <c r="C672" s="7"/>
      <c r="D672" s="8"/>
      <c r="E672" s="8"/>
      <c r="F672" s="8"/>
      <c r="G672" s="8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 spans="1:31" x14ac:dyDescent="0.15">
      <c r="A673" s="7"/>
      <c r="B673" s="7"/>
      <c r="C673" s="7"/>
      <c r="D673" s="8"/>
      <c r="E673" s="8"/>
      <c r="F673" s="8"/>
      <c r="G673" s="8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 spans="1:31" x14ac:dyDescent="0.15">
      <c r="A674" s="7"/>
      <c r="B674" s="7"/>
      <c r="C674" s="7"/>
      <c r="D674" s="8"/>
      <c r="E674" s="8"/>
      <c r="F674" s="8"/>
      <c r="G674" s="8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 spans="1:31" x14ac:dyDescent="0.15">
      <c r="A675" s="7"/>
      <c r="B675" s="7"/>
      <c r="C675" s="7"/>
      <c r="D675" s="8"/>
      <c r="E675" s="8"/>
      <c r="F675" s="8"/>
      <c r="G675" s="8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 spans="1:31" x14ac:dyDescent="0.15">
      <c r="A676" s="7"/>
      <c r="B676" s="7"/>
      <c r="C676" s="7"/>
      <c r="D676" s="8"/>
      <c r="E676" s="8"/>
      <c r="F676" s="8"/>
      <c r="G676" s="8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 spans="1:31" x14ac:dyDescent="0.15">
      <c r="A677" s="7"/>
      <c r="B677" s="7"/>
      <c r="C677" s="7"/>
      <c r="D677" s="8"/>
      <c r="E677" s="8"/>
      <c r="F677" s="8"/>
      <c r="G677" s="8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 spans="1:31" x14ac:dyDescent="0.15">
      <c r="A678" s="7"/>
      <c r="B678" s="7"/>
      <c r="C678" s="7"/>
      <c r="D678" s="8"/>
      <c r="E678" s="8"/>
      <c r="F678" s="8"/>
      <c r="G678" s="8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 spans="1:31" x14ac:dyDescent="0.15">
      <c r="A679" s="7"/>
      <c r="B679" s="7"/>
      <c r="C679" s="7"/>
      <c r="D679" s="8"/>
      <c r="E679" s="8"/>
      <c r="F679" s="8"/>
      <c r="G679" s="8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 spans="1:31" x14ac:dyDescent="0.15">
      <c r="A680" s="7"/>
      <c r="B680" s="7"/>
      <c r="C680" s="7"/>
      <c r="D680" s="8"/>
      <c r="E680" s="8"/>
      <c r="F680" s="8"/>
      <c r="G680" s="8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 spans="1:31" x14ac:dyDescent="0.15">
      <c r="A681" s="7"/>
      <c r="B681" s="7"/>
      <c r="C681" s="7"/>
      <c r="D681" s="8"/>
      <c r="E681" s="8"/>
      <c r="F681" s="8"/>
      <c r="G681" s="8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 spans="1:31" x14ac:dyDescent="0.15">
      <c r="A682" s="7"/>
      <c r="B682" s="7"/>
      <c r="C682" s="7"/>
      <c r="D682" s="8"/>
      <c r="E682" s="8"/>
      <c r="F682" s="8"/>
      <c r="G682" s="8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 spans="1:31" x14ac:dyDescent="0.15">
      <c r="A683" s="7"/>
      <c r="B683" s="7"/>
      <c r="C683" s="7"/>
      <c r="D683" s="8"/>
      <c r="E683" s="8"/>
      <c r="F683" s="8"/>
      <c r="G683" s="8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 spans="1:31" x14ac:dyDescent="0.15">
      <c r="A684" s="7"/>
      <c r="B684" s="7"/>
      <c r="C684" s="7"/>
      <c r="D684" s="8"/>
      <c r="E684" s="8"/>
      <c r="F684" s="8"/>
      <c r="G684" s="8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 spans="1:31" x14ac:dyDescent="0.15">
      <c r="A685" s="7"/>
      <c r="B685" s="7"/>
      <c r="C685" s="7"/>
      <c r="D685" s="8"/>
      <c r="E685" s="8"/>
      <c r="F685" s="8"/>
      <c r="G685" s="8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 spans="1:31" x14ac:dyDescent="0.15">
      <c r="A686" s="7"/>
      <c r="B686" s="7"/>
      <c r="C686" s="7"/>
      <c r="D686" s="8"/>
      <c r="E686" s="8"/>
      <c r="F686" s="8"/>
      <c r="G686" s="8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 spans="1:31" x14ac:dyDescent="0.15">
      <c r="A687" s="7"/>
      <c r="B687" s="7"/>
      <c r="C687" s="7"/>
      <c r="D687" s="8"/>
      <c r="E687" s="8"/>
      <c r="F687" s="8"/>
      <c r="G687" s="8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 spans="1:31" x14ac:dyDescent="0.15">
      <c r="A688" s="7"/>
      <c r="B688" s="7"/>
      <c r="C688" s="7"/>
      <c r="D688" s="8"/>
      <c r="E688" s="8"/>
      <c r="F688" s="8"/>
      <c r="G688" s="8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 spans="1:31" x14ac:dyDescent="0.15">
      <c r="A689" s="7"/>
      <c r="B689" s="7"/>
      <c r="C689" s="7"/>
      <c r="D689" s="8"/>
      <c r="E689" s="8"/>
      <c r="F689" s="8"/>
      <c r="G689" s="8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 spans="1:31" x14ac:dyDescent="0.15">
      <c r="A690" s="7"/>
      <c r="B690" s="7"/>
      <c r="C690" s="7"/>
      <c r="D690" s="8"/>
      <c r="E690" s="8"/>
      <c r="F690" s="8"/>
      <c r="G690" s="8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 spans="1:31" x14ac:dyDescent="0.15">
      <c r="A691" s="7"/>
      <c r="B691" s="7"/>
      <c r="C691" s="7"/>
      <c r="D691" s="8"/>
      <c r="E691" s="8"/>
      <c r="F691" s="8"/>
      <c r="G691" s="8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 spans="1:31" x14ac:dyDescent="0.15">
      <c r="A692" s="7"/>
      <c r="B692" s="7"/>
      <c r="C692" s="7"/>
      <c r="D692" s="8"/>
      <c r="E692" s="8"/>
      <c r="F692" s="8"/>
      <c r="G692" s="8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 spans="1:31" x14ac:dyDescent="0.15">
      <c r="A693" s="7"/>
      <c r="B693" s="7"/>
      <c r="C693" s="7"/>
      <c r="D693" s="8"/>
      <c r="E693" s="8"/>
      <c r="F693" s="8"/>
      <c r="G693" s="8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 spans="1:31" x14ac:dyDescent="0.15">
      <c r="A694" s="7"/>
      <c r="B694" s="7"/>
      <c r="C694" s="7"/>
      <c r="D694" s="8"/>
      <c r="E694" s="8"/>
      <c r="F694" s="8"/>
      <c r="G694" s="8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 spans="1:31" x14ac:dyDescent="0.15">
      <c r="A695" s="7"/>
      <c r="B695" s="7"/>
      <c r="C695" s="7"/>
      <c r="D695" s="8"/>
      <c r="E695" s="8"/>
      <c r="F695" s="8"/>
      <c r="G695" s="8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 spans="1:31" x14ac:dyDescent="0.15">
      <c r="A696" s="7"/>
      <c r="B696" s="7"/>
      <c r="C696" s="7"/>
      <c r="D696" s="8"/>
      <c r="E696" s="8"/>
      <c r="F696" s="8"/>
      <c r="G696" s="8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 spans="1:31" x14ac:dyDescent="0.15">
      <c r="A697" s="7"/>
      <c r="B697" s="7"/>
      <c r="C697" s="7"/>
      <c r="D697" s="8"/>
      <c r="E697" s="8"/>
      <c r="F697" s="8"/>
      <c r="G697" s="8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 spans="1:31" x14ac:dyDescent="0.15">
      <c r="A698" s="7"/>
      <c r="B698" s="7"/>
      <c r="C698" s="7"/>
      <c r="D698" s="8"/>
      <c r="E698" s="8"/>
      <c r="F698" s="8"/>
      <c r="G698" s="8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 spans="1:31" x14ac:dyDescent="0.15">
      <c r="A699" s="7"/>
      <c r="B699" s="7"/>
      <c r="C699" s="7"/>
      <c r="D699" s="8"/>
      <c r="E699" s="8"/>
      <c r="F699" s="8"/>
      <c r="G699" s="8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 spans="1:31" x14ac:dyDescent="0.15">
      <c r="A700" s="7"/>
      <c r="B700" s="7"/>
      <c r="C700" s="7"/>
      <c r="D700" s="8"/>
      <c r="E700" s="8"/>
      <c r="F700" s="8"/>
      <c r="G700" s="8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spans="1:31" x14ac:dyDescent="0.15">
      <c r="A701" s="7"/>
      <c r="B701" s="7"/>
      <c r="C701" s="7"/>
      <c r="D701" s="8"/>
      <c r="E701" s="8"/>
      <c r="F701" s="8"/>
      <c r="G701" s="8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 spans="1:31" x14ac:dyDescent="0.15">
      <c r="A702" s="7"/>
      <c r="B702" s="7"/>
      <c r="C702" s="7"/>
      <c r="D702" s="8"/>
      <c r="E702" s="8"/>
      <c r="F702" s="8"/>
      <c r="G702" s="8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 spans="1:31" x14ac:dyDescent="0.15">
      <c r="A703" s="7"/>
      <c r="B703" s="7"/>
      <c r="C703" s="7"/>
      <c r="D703" s="8"/>
      <c r="E703" s="8"/>
      <c r="F703" s="8"/>
      <c r="G703" s="8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 spans="1:31" x14ac:dyDescent="0.15">
      <c r="A704" s="7"/>
      <c r="B704" s="7"/>
      <c r="C704" s="7"/>
      <c r="D704" s="8"/>
      <c r="E704" s="8"/>
      <c r="F704" s="8"/>
      <c r="G704" s="8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 spans="1:31" x14ac:dyDescent="0.15">
      <c r="A705" s="7"/>
      <c r="B705" s="7"/>
      <c r="C705" s="7"/>
      <c r="D705" s="8"/>
      <c r="E705" s="8"/>
      <c r="F705" s="8"/>
      <c r="G705" s="8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 spans="1:31" x14ac:dyDescent="0.15">
      <c r="A706" s="7"/>
      <c r="B706" s="7"/>
      <c r="C706" s="7"/>
      <c r="D706" s="8"/>
      <c r="E706" s="8"/>
      <c r="F706" s="8"/>
      <c r="G706" s="8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 spans="1:31" x14ac:dyDescent="0.15">
      <c r="A707" s="7"/>
      <c r="B707" s="7"/>
      <c r="C707" s="7"/>
      <c r="D707" s="8"/>
      <c r="E707" s="8"/>
      <c r="F707" s="8"/>
      <c r="G707" s="8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 spans="1:31" x14ac:dyDescent="0.15">
      <c r="A708" s="7"/>
      <c r="B708" s="7"/>
      <c r="C708" s="7"/>
      <c r="D708" s="8"/>
      <c r="E708" s="8"/>
      <c r="F708" s="8"/>
      <c r="G708" s="8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 spans="1:31" x14ac:dyDescent="0.15">
      <c r="A709" s="7"/>
      <c r="B709" s="7"/>
      <c r="C709" s="7"/>
      <c r="D709" s="8"/>
      <c r="E709" s="8"/>
      <c r="F709" s="8"/>
      <c r="G709" s="8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 spans="1:31" x14ac:dyDescent="0.15">
      <c r="A710" s="7"/>
      <c r="B710" s="7"/>
      <c r="C710" s="7"/>
      <c r="D710" s="8"/>
      <c r="E710" s="8"/>
      <c r="F710" s="8"/>
      <c r="G710" s="8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 spans="1:31" x14ac:dyDescent="0.15">
      <c r="A711" s="7"/>
      <c r="B711" s="7"/>
      <c r="C711" s="7"/>
      <c r="D711" s="8"/>
      <c r="E711" s="8"/>
      <c r="F711" s="8"/>
      <c r="G711" s="8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 spans="1:31" x14ac:dyDescent="0.15">
      <c r="A712" s="7"/>
      <c r="B712" s="7"/>
      <c r="C712" s="7"/>
      <c r="D712" s="8"/>
      <c r="E712" s="8"/>
      <c r="F712" s="8"/>
      <c r="G712" s="8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 spans="1:31" x14ac:dyDescent="0.15">
      <c r="A713" s="7"/>
      <c r="B713" s="7"/>
      <c r="C713" s="7"/>
      <c r="D713" s="8"/>
      <c r="E713" s="8"/>
      <c r="F713" s="8"/>
      <c r="G713" s="8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 spans="1:31" x14ac:dyDescent="0.15">
      <c r="A714" s="7"/>
      <c r="B714" s="7"/>
      <c r="C714" s="7"/>
      <c r="D714" s="8"/>
      <c r="E714" s="8"/>
      <c r="F714" s="8"/>
      <c r="G714" s="8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 spans="1:31" x14ac:dyDescent="0.15">
      <c r="A715" s="7"/>
      <c r="B715" s="7"/>
      <c r="C715" s="7"/>
      <c r="D715" s="8"/>
      <c r="E715" s="8"/>
      <c r="F715" s="8"/>
      <c r="G715" s="8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 spans="1:31" x14ac:dyDescent="0.15">
      <c r="A716" s="7"/>
      <c r="B716" s="7"/>
      <c r="C716" s="7"/>
      <c r="D716" s="8"/>
      <c r="E716" s="8"/>
      <c r="F716" s="8"/>
      <c r="G716" s="8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 spans="1:31" x14ac:dyDescent="0.15">
      <c r="A717" s="7"/>
      <c r="B717" s="7"/>
      <c r="C717" s="7"/>
      <c r="D717" s="8"/>
      <c r="E717" s="8"/>
      <c r="F717" s="8"/>
      <c r="G717" s="8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 spans="1:31" x14ac:dyDescent="0.15">
      <c r="A718" s="7"/>
      <c r="B718" s="7"/>
      <c r="C718" s="7"/>
      <c r="D718" s="8"/>
      <c r="E718" s="8"/>
      <c r="F718" s="8"/>
      <c r="G718" s="8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 spans="1:31" x14ac:dyDescent="0.15">
      <c r="A719" s="7"/>
      <c r="B719" s="7"/>
      <c r="C719" s="7"/>
      <c r="D719" s="8"/>
      <c r="E719" s="8"/>
      <c r="F719" s="8"/>
      <c r="G719" s="8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 spans="1:31" x14ac:dyDescent="0.15">
      <c r="A720" s="7"/>
      <c r="B720" s="7"/>
      <c r="C720" s="7"/>
      <c r="D720" s="8"/>
      <c r="E720" s="8"/>
      <c r="F720" s="8"/>
      <c r="G720" s="8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 spans="1:31" x14ac:dyDescent="0.15">
      <c r="A721" s="7"/>
      <c r="B721" s="7"/>
      <c r="C721" s="7"/>
      <c r="D721" s="8"/>
      <c r="E721" s="8"/>
      <c r="F721" s="8"/>
      <c r="G721" s="8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 spans="1:31" x14ac:dyDescent="0.15">
      <c r="A722" s="7"/>
      <c r="B722" s="7"/>
      <c r="C722" s="7"/>
      <c r="D722" s="8"/>
      <c r="E722" s="8"/>
      <c r="F722" s="8"/>
      <c r="G722" s="8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 spans="1:31" x14ac:dyDescent="0.15">
      <c r="A723" s="7"/>
      <c r="B723" s="7"/>
      <c r="C723" s="7"/>
      <c r="D723" s="8"/>
      <c r="E723" s="8"/>
      <c r="F723" s="8"/>
      <c r="G723" s="8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 spans="1:31" x14ac:dyDescent="0.15">
      <c r="A724" s="7"/>
      <c r="B724" s="7"/>
      <c r="C724" s="7"/>
      <c r="D724" s="8"/>
      <c r="E724" s="8"/>
      <c r="F724" s="8"/>
      <c r="G724" s="8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 spans="1:31" x14ac:dyDescent="0.15">
      <c r="A725" s="7"/>
      <c r="B725" s="7"/>
      <c r="C725" s="7"/>
      <c r="D725" s="8"/>
      <c r="E725" s="8"/>
      <c r="F725" s="8"/>
      <c r="G725" s="8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 spans="1:31" x14ac:dyDescent="0.15">
      <c r="A726" s="7"/>
      <c r="B726" s="7"/>
      <c r="C726" s="7"/>
      <c r="D726" s="8"/>
      <c r="E726" s="8"/>
      <c r="F726" s="8"/>
      <c r="G726" s="8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 spans="1:31" x14ac:dyDescent="0.15">
      <c r="A727" s="7"/>
      <c r="B727" s="7"/>
      <c r="C727" s="7"/>
      <c r="D727" s="8"/>
      <c r="E727" s="8"/>
      <c r="F727" s="8"/>
      <c r="G727" s="8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 spans="1:31" x14ac:dyDescent="0.15">
      <c r="A728" s="7"/>
      <c r="B728" s="7"/>
      <c r="C728" s="7"/>
      <c r="D728" s="8"/>
      <c r="E728" s="8"/>
      <c r="F728" s="8"/>
      <c r="G728" s="8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 spans="1:31" x14ac:dyDescent="0.15">
      <c r="A729" s="7"/>
      <c r="B729" s="7"/>
      <c r="C729" s="7"/>
      <c r="D729" s="8"/>
      <c r="E729" s="8"/>
      <c r="F729" s="8"/>
      <c r="G729" s="8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 spans="1:31" x14ac:dyDescent="0.15">
      <c r="A730" s="7"/>
      <c r="B730" s="7"/>
      <c r="C730" s="7"/>
      <c r="D730" s="8"/>
      <c r="E730" s="8"/>
      <c r="F730" s="8"/>
      <c r="G730" s="8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 spans="1:31" x14ac:dyDescent="0.15">
      <c r="A731" s="7"/>
      <c r="B731" s="7"/>
      <c r="C731" s="7"/>
      <c r="D731" s="8"/>
      <c r="E731" s="8"/>
      <c r="F731" s="8"/>
      <c r="G731" s="8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 spans="1:31" x14ac:dyDescent="0.15">
      <c r="A732" s="7"/>
      <c r="B732" s="7"/>
      <c r="C732" s="7"/>
      <c r="D732" s="8"/>
      <c r="E732" s="8"/>
      <c r="F732" s="8"/>
      <c r="G732" s="8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 spans="1:31" x14ac:dyDescent="0.15">
      <c r="A733" s="7"/>
      <c r="B733" s="7"/>
      <c r="C733" s="7"/>
      <c r="D733" s="8"/>
      <c r="E733" s="8"/>
      <c r="F733" s="8"/>
      <c r="G733" s="8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 spans="1:31" x14ac:dyDescent="0.15">
      <c r="A734" s="7"/>
      <c r="B734" s="7"/>
      <c r="C734" s="7"/>
      <c r="D734" s="8"/>
      <c r="E734" s="8"/>
      <c r="F734" s="8"/>
      <c r="G734" s="8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 spans="1:31" x14ac:dyDescent="0.15">
      <c r="A735" s="7"/>
      <c r="B735" s="7"/>
      <c r="C735" s="7"/>
      <c r="D735" s="8"/>
      <c r="E735" s="8"/>
      <c r="F735" s="8"/>
      <c r="G735" s="8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 spans="1:31" x14ac:dyDescent="0.15">
      <c r="A736" s="7"/>
      <c r="B736" s="7"/>
      <c r="C736" s="7"/>
      <c r="D736" s="8"/>
      <c r="E736" s="8"/>
      <c r="F736" s="8"/>
      <c r="G736" s="8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 spans="1:31" x14ac:dyDescent="0.15">
      <c r="A737" s="7"/>
      <c r="B737" s="7"/>
      <c r="C737" s="7"/>
      <c r="D737" s="8"/>
      <c r="E737" s="8"/>
      <c r="F737" s="8"/>
      <c r="G737" s="8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 spans="1:31" x14ac:dyDescent="0.15">
      <c r="A738" s="7"/>
      <c r="B738" s="7"/>
      <c r="C738" s="7"/>
      <c r="D738" s="8"/>
      <c r="E738" s="8"/>
      <c r="F738" s="8"/>
      <c r="G738" s="8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 spans="1:31" x14ac:dyDescent="0.15">
      <c r="A739" s="7"/>
      <c r="B739" s="7"/>
      <c r="C739" s="7"/>
      <c r="D739" s="8"/>
      <c r="E739" s="8"/>
      <c r="F739" s="8"/>
      <c r="G739" s="8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 spans="1:31" x14ac:dyDescent="0.15">
      <c r="A740" s="7"/>
      <c r="B740" s="7"/>
      <c r="C740" s="7"/>
      <c r="D740" s="8"/>
      <c r="E740" s="8"/>
      <c r="F740" s="8"/>
      <c r="G740" s="8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 spans="1:31" x14ac:dyDescent="0.15">
      <c r="A741" s="7"/>
      <c r="B741" s="7"/>
      <c r="C741" s="7"/>
      <c r="D741" s="8"/>
      <c r="E741" s="8"/>
      <c r="F741" s="8"/>
      <c r="G741" s="8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 spans="1:31" x14ac:dyDescent="0.15">
      <c r="A742" s="7"/>
      <c r="B742" s="7"/>
      <c r="C742" s="7"/>
      <c r="D742" s="8"/>
      <c r="E742" s="8"/>
      <c r="F742" s="8"/>
      <c r="G742" s="8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 spans="1:31" x14ac:dyDescent="0.15">
      <c r="A743" s="7"/>
      <c r="B743" s="7"/>
      <c r="C743" s="7"/>
      <c r="D743" s="8"/>
      <c r="E743" s="8"/>
      <c r="F743" s="8"/>
      <c r="G743" s="8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 spans="1:31" x14ac:dyDescent="0.15">
      <c r="A744" s="7"/>
      <c r="B744" s="7"/>
      <c r="C744" s="7"/>
      <c r="D744" s="8"/>
      <c r="E744" s="8"/>
      <c r="F744" s="8"/>
      <c r="G744" s="8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 spans="1:31" x14ac:dyDescent="0.15">
      <c r="A745" s="7"/>
      <c r="B745" s="7"/>
      <c r="C745" s="7"/>
      <c r="D745" s="8"/>
      <c r="E745" s="8"/>
      <c r="F745" s="8"/>
      <c r="G745" s="8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 spans="1:31" x14ac:dyDescent="0.15">
      <c r="A746" s="7"/>
      <c r="B746" s="7"/>
      <c r="C746" s="7"/>
      <c r="D746" s="8"/>
      <c r="E746" s="8"/>
      <c r="F746" s="8"/>
      <c r="G746" s="8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 spans="1:31" x14ac:dyDescent="0.15">
      <c r="A747" s="7"/>
      <c r="B747" s="7"/>
      <c r="C747" s="7"/>
      <c r="D747" s="8"/>
      <c r="E747" s="8"/>
      <c r="F747" s="8"/>
      <c r="G747" s="8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 spans="1:31" x14ac:dyDescent="0.15">
      <c r="A748" s="7"/>
      <c r="B748" s="7"/>
      <c r="C748" s="7"/>
      <c r="D748" s="8"/>
      <c r="E748" s="8"/>
      <c r="F748" s="8"/>
      <c r="G748" s="8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 spans="1:31" x14ac:dyDescent="0.15">
      <c r="A749" s="7"/>
      <c r="B749" s="7"/>
      <c r="C749" s="7"/>
      <c r="D749" s="8"/>
      <c r="E749" s="8"/>
      <c r="F749" s="8"/>
      <c r="G749" s="8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 spans="1:31" x14ac:dyDescent="0.15">
      <c r="A750" s="7"/>
      <c r="B750" s="7"/>
      <c r="C750" s="7"/>
      <c r="D750" s="8"/>
      <c r="E750" s="8"/>
      <c r="F750" s="8"/>
      <c r="G750" s="8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 spans="1:31" x14ac:dyDescent="0.15">
      <c r="A751" s="7"/>
      <c r="B751" s="7"/>
      <c r="C751" s="7"/>
      <c r="D751" s="8"/>
      <c r="E751" s="8"/>
      <c r="F751" s="8"/>
      <c r="G751" s="8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 spans="1:31" x14ac:dyDescent="0.15">
      <c r="A752" s="7"/>
      <c r="B752" s="7"/>
      <c r="C752" s="7"/>
      <c r="D752" s="8"/>
      <c r="E752" s="8"/>
      <c r="F752" s="8"/>
      <c r="G752" s="8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 spans="1:31" x14ac:dyDescent="0.15">
      <c r="A753" s="7"/>
      <c r="B753" s="7"/>
      <c r="C753" s="7"/>
      <c r="D753" s="8"/>
      <c r="E753" s="8"/>
      <c r="F753" s="8"/>
      <c r="G753" s="8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 spans="1:31" x14ac:dyDescent="0.15">
      <c r="A754" s="7"/>
      <c r="B754" s="7"/>
      <c r="C754" s="7"/>
      <c r="D754" s="8"/>
      <c r="E754" s="8"/>
      <c r="F754" s="8"/>
      <c r="G754" s="8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 spans="1:31" x14ac:dyDescent="0.15">
      <c r="A755" s="7"/>
      <c r="B755" s="7"/>
      <c r="C755" s="7"/>
      <c r="D755" s="8"/>
      <c r="E755" s="8"/>
      <c r="F755" s="8"/>
      <c r="G755" s="8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 spans="1:31" x14ac:dyDescent="0.15">
      <c r="A756" s="7"/>
      <c r="B756" s="7"/>
      <c r="C756" s="7"/>
      <c r="D756" s="8"/>
      <c r="E756" s="8"/>
      <c r="F756" s="8"/>
      <c r="G756" s="8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 spans="1:31" x14ac:dyDescent="0.15">
      <c r="A757" s="7"/>
      <c r="B757" s="7"/>
      <c r="C757" s="7"/>
      <c r="D757" s="8"/>
      <c r="E757" s="8"/>
      <c r="F757" s="8"/>
      <c r="G757" s="8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 spans="1:31" x14ac:dyDescent="0.15">
      <c r="A758" s="7"/>
      <c r="B758" s="7"/>
      <c r="C758" s="7"/>
      <c r="D758" s="8"/>
      <c r="E758" s="8"/>
      <c r="F758" s="8"/>
      <c r="G758" s="8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 spans="1:31" x14ac:dyDescent="0.15">
      <c r="A759" s="7"/>
      <c r="B759" s="7"/>
      <c r="C759" s="7"/>
      <c r="D759" s="8"/>
      <c r="E759" s="8"/>
      <c r="F759" s="8"/>
      <c r="G759" s="8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 spans="1:31" x14ac:dyDescent="0.15">
      <c r="A760" s="7"/>
      <c r="B760" s="7"/>
      <c r="C760" s="7"/>
      <c r="D760" s="8"/>
      <c r="E760" s="8"/>
      <c r="F760" s="8"/>
      <c r="G760" s="8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 spans="1:31" x14ac:dyDescent="0.15">
      <c r="A761" s="7"/>
      <c r="B761" s="7"/>
      <c r="C761" s="7"/>
      <c r="D761" s="8"/>
      <c r="E761" s="8"/>
      <c r="F761" s="8"/>
      <c r="G761" s="8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 spans="1:31" x14ac:dyDescent="0.15">
      <c r="A762" s="7"/>
      <c r="B762" s="7"/>
      <c r="C762" s="7"/>
      <c r="D762" s="8"/>
      <c r="E762" s="8"/>
      <c r="F762" s="8"/>
      <c r="G762" s="8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 spans="1:31" x14ac:dyDescent="0.15">
      <c r="A763" s="7"/>
      <c r="B763" s="7"/>
      <c r="C763" s="7"/>
      <c r="D763" s="8"/>
      <c r="E763" s="8"/>
      <c r="F763" s="8"/>
      <c r="G763" s="8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 spans="1:31" x14ac:dyDescent="0.15">
      <c r="A764" s="7"/>
      <c r="B764" s="7"/>
      <c r="C764" s="7"/>
      <c r="D764" s="8"/>
      <c r="E764" s="8"/>
      <c r="F764" s="8"/>
      <c r="G764" s="8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 spans="1:31" x14ac:dyDescent="0.15">
      <c r="A765" s="7"/>
      <c r="B765" s="7"/>
      <c r="C765" s="7"/>
      <c r="D765" s="8"/>
      <c r="E765" s="8"/>
      <c r="F765" s="8"/>
      <c r="G765" s="8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 spans="1:31" x14ac:dyDescent="0.15">
      <c r="A766" s="7"/>
      <c r="B766" s="7"/>
      <c r="C766" s="7"/>
      <c r="D766" s="8"/>
      <c r="E766" s="8"/>
      <c r="F766" s="8"/>
      <c r="G766" s="8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 spans="1:31" x14ac:dyDescent="0.15">
      <c r="A767" s="7"/>
      <c r="B767" s="7"/>
      <c r="C767" s="7"/>
      <c r="D767" s="8"/>
      <c r="E767" s="8"/>
      <c r="F767" s="8"/>
      <c r="G767" s="8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 spans="1:31" x14ac:dyDescent="0.15">
      <c r="A768" s="7"/>
      <c r="B768" s="7"/>
      <c r="C768" s="7"/>
      <c r="D768" s="8"/>
      <c r="E768" s="8"/>
      <c r="F768" s="8"/>
      <c r="G768" s="8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 spans="1:31" x14ac:dyDescent="0.15">
      <c r="A769" s="7"/>
      <c r="B769" s="7"/>
      <c r="C769" s="7"/>
      <c r="D769" s="8"/>
      <c r="E769" s="8"/>
      <c r="F769" s="8"/>
      <c r="G769" s="8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 spans="1:31" x14ac:dyDescent="0.15">
      <c r="A770" s="7"/>
      <c r="B770" s="7"/>
      <c r="C770" s="7"/>
      <c r="D770" s="8"/>
      <c r="E770" s="8"/>
      <c r="F770" s="8"/>
      <c r="G770" s="8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 spans="1:31" x14ac:dyDescent="0.15">
      <c r="A771" s="7"/>
      <c r="B771" s="7"/>
      <c r="C771" s="7"/>
      <c r="D771" s="8"/>
      <c r="E771" s="8"/>
      <c r="F771" s="8"/>
      <c r="G771" s="8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 spans="1:31" x14ac:dyDescent="0.15">
      <c r="A772" s="7"/>
      <c r="B772" s="7"/>
      <c r="C772" s="7"/>
      <c r="D772" s="8"/>
      <c r="E772" s="8"/>
      <c r="F772" s="8"/>
      <c r="G772" s="8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 spans="1:31" x14ac:dyDescent="0.15">
      <c r="A773" s="7"/>
      <c r="B773" s="7"/>
      <c r="C773" s="7"/>
      <c r="D773" s="8"/>
      <c r="E773" s="8"/>
      <c r="F773" s="8"/>
      <c r="G773" s="8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 spans="1:31" x14ac:dyDescent="0.15">
      <c r="A774" s="7"/>
      <c r="B774" s="7"/>
      <c r="C774" s="7"/>
      <c r="D774" s="8"/>
      <c r="E774" s="8"/>
      <c r="F774" s="8"/>
      <c r="G774" s="8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 spans="1:31" x14ac:dyDescent="0.15">
      <c r="A775" s="7"/>
      <c r="B775" s="7"/>
      <c r="C775" s="7"/>
      <c r="D775" s="8"/>
      <c r="E775" s="8"/>
      <c r="F775" s="8"/>
      <c r="G775" s="8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 spans="1:31" x14ac:dyDescent="0.15">
      <c r="A776" s="7"/>
      <c r="B776" s="7"/>
      <c r="C776" s="7"/>
      <c r="D776" s="8"/>
      <c r="E776" s="8"/>
      <c r="F776" s="8"/>
      <c r="G776" s="8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 spans="1:31" x14ac:dyDescent="0.15">
      <c r="A777" s="7"/>
      <c r="B777" s="7"/>
      <c r="C777" s="7"/>
      <c r="D777" s="8"/>
      <c r="E777" s="8"/>
      <c r="F777" s="8"/>
      <c r="G777" s="8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 spans="1:31" x14ac:dyDescent="0.15">
      <c r="A778" s="7"/>
      <c r="B778" s="7"/>
      <c r="C778" s="7"/>
      <c r="D778" s="8"/>
      <c r="E778" s="8"/>
      <c r="F778" s="8"/>
      <c r="G778" s="8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 spans="1:31" x14ac:dyDescent="0.15">
      <c r="A779" s="7"/>
      <c r="B779" s="7"/>
      <c r="C779" s="7"/>
      <c r="D779" s="8"/>
      <c r="E779" s="8"/>
      <c r="F779" s="8"/>
      <c r="G779" s="8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 spans="1:31" x14ac:dyDescent="0.15">
      <c r="A780" s="7"/>
      <c r="B780" s="7"/>
      <c r="C780" s="7"/>
      <c r="D780" s="8"/>
      <c r="E780" s="8"/>
      <c r="F780" s="8"/>
      <c r="G780" s="8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 spans="1:31" x14ac:dyDescent="0.15">
      <c r="A781" s="7"/>
      <c r="B781" s="7"/>
      <c r="C781" s="7"/>
      <c r="D781" s="8"/>
      <c r="E781" s="8"/>
      <c r="F781" s="8"/>
      <c r="G781" s="8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 spans="1:31" x14ac:dyDescent="0.15">
      <c r="A782" s="7"/>
      <c r="B782" s="7"/>
      <c r="C782" s="7"/>
      <c r="D782" s="8"/>
      <c r="E782" s="8"/>
      <c r="F782" s="8"/>
      <c r="G782" s="8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 spans="1:31" x14ac:dyDescent="0.15">
      <c r="A783" s="7"/>
      <c r="B783" s="7"/>
      <c r="C783" s="7"/>
      <c r="D783" s="8"/>
      <c r="E783" s="8"/>
      <c r="F783" s="8"/>
      <c r="G783" s="8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 spans="1:31" x14ac:dyDescent="0.15">
      <c r="A784" s="7"/>
      <c r="B784" s="7"/>
      <c r="C784" s="7"/>
      <c r="D784" s="8"/>
      <c r="E784" s="8"/>
      <c r="F784" s="8"/>
      <c r="G784" s="8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 spans="1:31" x14ac:dyDescent="0.15">
      <c r="A785" s="7"/>
      <c r="B785" s="7"/>
      <c r="C785" s="7"/>
      <c r="D785" s="8"/>
      <c r="E785" s="8"/>
      <c r="F785" s="8"/>
      <c r="G785" s="8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 spans="1:31" x14ac:dyDescent="0.15">
      <c r="A786" s="7"/>
      <c r="B786" s="7"/>
      <c r="C786" s="7"/>
      <c r="D786" s="8"/>
      <c r="E786" s="8"/>
      <c r="F786" s="8"/>
      <c r="G786" s="8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 spans="1:31" x14ac:dyDescent="0.15">
      <c r="A787" s="7"/>
      <c r="B787" s="7"/>
      <c r="C787" s="7"/>
      <c r="D787" s="8"/>
      <c r="E787" s="8"/>
      <c r="F787" s="8"/>
      <c r="G787" s="8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 spans="1:31" x14ac:dyDescent="0.15">
      <c r="A788" s="7"/>
      <c r="B788" s="7"/>
      <c r="C788" s="7"/>
      <c r="D788" s="8"/>
      <c r="E788" s="8"/>
      <c r="F788" s="8"/>
      <c r="G788" s="8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 spans="1:31" x14ac:dyDescent="0.15">
      <c r="A789" s="7"/>
      <c r="B789" s="7"/>
      <c r="C789" s="7"/>
      <c r="D789" s="8"/>
      <c r="E789" s="8"/>
      <c r="F789" s="8"/>
      <c r="G789" s="8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 spans="1:31" x14ac:dyDescent="0.15">
      <c r="A790" s="7"/>
      <c r="B790" s="7"/>
      <c r="C790" s="7"/>
      <c r="D790" s="8"/>
      <c r="E790" s="8"/>
      <c r="F790" s="8"/>
      <c r="G790" s="8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 spans="1:31" x14ac:dyDescent="0.15">
      <c r="A791" s="7"/>
      <c r="B791" s="7"/>
      <c r="C791" s="7"/>
      <c r="D791" s="8"/>
      <c r="E791" s="8"/>
      <c r="F791" s="8"/>
      <c r="G791" s="8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 spans="1:31" x14ac:dyDescent="0.15">
      <c r="A792" s="7"/>
      <c r="B792" s="7"/>
      <c r="C792" s="7"/>
      <c r="D792" s="8"/>
      <c r="E792" s="8"/>
      <c r="F792" s="8"/>
      <c r="G792" s="8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 spans="1:31" x14ac:dyDescent="0.15">
      <c r="A793" s="7"/>
      <c r="B793" s="7"/>
      <c r="C793" s="7"/>
      <c r="D793" s="8"/>
      <c r="E793" s="8"/>
      <c r="F793" s="8"/>
      <c r="G793" s="8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 spans="1:31" x14ac:dyDescent="0.15">
      <c r="A794" s="7"/>
      <c r="B794" s="7"/>
      <c r="C794" s="7"/>
      <c r="D794" s="8"/>
      <c r="E794" s="8"/>
      <c r="F794" s="8"/>
      <c r="G794" s="8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 spans="1:31" x14ac:dyDescent="0.15">
      <c r="A795" s="7"/>
      <c r="B795" s="7"/>
      <c r="C795" s="7"/>
      <c r="D795" s="8"/>
      <c r="E795" s="8"/>
      <c r="F795" s="8"/>
      <c r="G795" s="8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 spans="1:31" x14ac:dyDescent="0.15">
      <c r="A796" s="7"/>
      <c r="B796" s="7"/>
      <c r="C796" s="7"/>
      <c r="D796" s="8"/>
      <c r="E796" s="8"/>
      <c r="F796" s="8"/>
      <c r="G796" s="8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 spans="1:31" x14ac:dyDescent="0.15">
      <c r="A797" s="7"/>
      <c r="B797" s="7"/>
      <c r="C797" s="7"/>
      <c r="D797" s="8"/>
      <c r="E797" s="8"/>
      <c r="F797" s="8"/>
      <c r="G797" s="8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 spans="1:31" x14ac:dyDescent="0.15">
      <c r="A798" s="7"/>
      <c r="B798" s="7"/>
      <c r="C798" s="7"/>
      <c r="D798" s="8"/>
      <c r="E798" s="8"/>
      <c r="F798" s="8"/>
      <c r="G798" s="8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 spans="1:31" x14ac:dyDescent="0.15">
      <c r="A799" s="7"/>
      <c r="B799" s="7"/>
      <c r="C799" s="7"/>
      <c r="D799" s="8"/>
      <c r="E799" s="8"/>
      <c r="F799" s="8"/>
      <c r="G799" s="8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 spans="1:31" x14ac:dyDescent="0.15">
      <c r="A800" s="7"/>
      <c r="B800" s="7"/>
      <c r="C800" s="7"/>
      <c r="D800" s="8"/>
      <c r="E800" s="8"/>
      <c r="F800" s="8"/>
      <c r="G800" s="8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 spans="1:31" x14ac:dyDescent="0.15">
      <c r="A801" s="7"/>
      <c r="B801" s="7"/>
      <c r="C801" s="7"/>
      <c r="D801" s="8"/>
      <c r="E801" s="8"/>
      <c r="F801" s="8"/>
      <c r="G801" s="8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 spans="1:31" x14ac:dyDescent="0.15">
      <c r="A802" s="7"/>
      <c r="B802" s="7"/>
      <c r="C802" s="7"/>
      <c r="D802" s="8"/>
      <c r="E802" s="8"/>
      <c r="F802" s="8"/>
      <c r="G802" s="8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 spans="1:31" x14ac:dyDescent="0.15">
      <c r="A803" s="7"/>
      <c r="B803" s="7"/>
      <c r="C803" s="7"/>
      <c r="D803" s="8"/>
      <c r="E803" s="8"/>
      <c r="F803" s="8"/>
      <c r="G803" s="8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 spans="1:31" x14ac:dyDescent="0.15">
      <c r="A804" s="7"/>
      <c r="B804" s="7"/>
      <c r="C804" s="7"/>
      <c r="D804" s="8"/>
      <c r="E804" s="8"/>
      <c r="F804" s="8"/>
      <c r="G804" s="8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 spans="1:31" x14ac:dyDescent="0.15">
      <c r="A805" s="7"/>
      <c r="B805" s="7"/>
      <c r="C805" s="7"/>
      <c r="D805" s="8"/>
      <c r="E805" s="8"/>
      <c r="F805" s="8"/>
      <c r="G805" s="8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 spans="1:31" x14ac:dyDescent="0.15">
      <c r="A806" s="7"/>
      <c r="B806" s="7"/>
      <c r="C806" s="7"/>
      <c r="D806" s="8"/>
      <c r="E806" s="8"/>
      <c r="F806" s="8"/>
      <c r="G806" s="8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 spans="1:31" x14ac:dyDescent="0.15">
      <c r="A807" s="7"/>
      <c r="B807" s="7"/>
      <c r="C807" s="7"/>
      <c r="D807" s="8"/>
      <c r="E807" s="8"/>
      <c r="F807" s="8"/>
      <c r="G807" s="8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 spans="1:31" x14ac:dyDescent="0.15">
      <c r="A808" s="7"/>
      <c r="B808" s="7"/>
      <c r="C808" s="7"/>
      <c r="D808" s="8"/>
      <c r="E808" s="8"/>
      <c r="F808" s="8"/>
      <c r="G808" s="8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 spans="1:31" x14ac:dyDescent="0.15">
      <c r="A809" s="7"/>
      <c r="B809" s="7"/>
      <c r="C809" s="7"/>
      <c r="D809" s="8"/>
      <c r="E809" s="8"/>
      <c r="F809" s="8"/>
      <c r="G809" s="8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 spans="1:31" x14ac:dyDescent="0.15">
      <c r="A810" s="7"/>
      <c r="B810" s="7"/>
      <c r="C810" s="7"/>
      <c r="D810" s="8"/>
      <c r="E810" s="8"/>
      <c r="F810" s="8"/>
      <c r="G810" s="8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 spans="1:31" x14ac:dyDescent="0.15">
      <c r="A811" s="7"/>
      <c r="B811" s="7"/>
      <c r="C811" s="7"/>
      <c r="D811" s="8"/>
      <c r="E811" s="8"/>
      <c r="F811" s="8"/>
      <c r="G811" s="8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 spans="1:31" x14ac:dyDescent="0.15">
      <c r="A812" s="7"/>
      <c r="B812" s="7"/>
      <c r="C812" s="7"/>
      <c r="D812" s="8"/>
      <c r="E812" s="8"/>
      <c r="F812" s="8"/>
      <c r="G812" s="8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 spans="1:31" x14ac:dyDescent="0.15">
      <c r="A813" s="7"/>
      <c r="B813" s="7"/>
      <c r="C813" s="7"/>
      <c r="D813" s="8"/>
      <c r="E813" s="8"/>
      <c r="F813" s="8"/>
      <c r="G813" s="8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 spans="1:31" x14ac:dyDescent="0.15">
      <c r="A814" s="7"/>
      <c r="B814" s="7"/>
      <c r="C814" s="7"/>
      <c r="D814" s="8"/>
      <c r="E814" s="8"/>
      <c r="F814" s="8"/>
      <c r="G814" s="8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 spans="1:31" x14ac:dyDescent="0.15">
      <c r="A815" s="7"/>
      <c r="B815" s="7"/>
      <c r="C815" s="7"/>
      <c r="D815" s="8"/>
      <c r="E815" s="8"/>
      <c r="F815" s="8"/>
      <c r="G815" s="8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 spans="1:31" x14ac:dyDescent="0.15">
      <c r="A816" s="7"/>
      <c r="B816" s="7"/>
      <c r="C816" s="7"/>
      <c r="D816" s="8"/>
      <c r="E816" s="8"/>
      <c r="F816" s="8"/>
      <c r="G816" s="8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 spans="1:31" x14ac:dyDescent="0.15">
      <c r="A817" s="7"/>
      <c r="B817" s="7"/>
      <c r="C817" s="7"/>
      <c r="D817" s="8"/>
      <c r="E817" s="8"/>
      <c r="F817" s="8"/>
      <c r="G817" s="8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 spans="1:31" x14ac:dyDescent="0.15">
      <c r="A818" s="7"/>
      <c r="B818" s="7"/>
      <c r="C818" s="7"/>
      <c r="D818" s="8"/>
      <c r="E818" s="8"/>
      <c r="F818" s="8"/>
      <c r="G818" s="8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 spans="1:31" x14ac:dyDescent="0.15">
      <c r="A819" s="7"/>
      <c r="B819" s="7"/>
      <c r="C819" s="7"/>
      <c r="D819" s="8"/>
      <c r="E819" s="8"/>
      <c r="F819" s="8"/>
      <c r="G819" s="8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 spans="1:31" x14ac:dyDescent="0.15">
      <c r="A820" s="7"/>
      <c r="B820" s="7"/>
      <c r="C820" s="7"/>
      <c r="D820" s="8"/>
      <c r="E820" s="8"/>
      <c r="F820" s="8"/>
      <c r="G820" s="8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 spans="1:31" x14ac:dyDescent="0.15">
      <c r="A821" s="7"/>
      <c r="B821" s="7"/>
      <c r="C821" s="7"/>
      <c r="D821" s="8"/>
      <c r="E821" s="8"/>
      <c r="F821" s="8"/>
      <c r="G821" s="8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 spans="1:31" x14ac:dyDescent="0.15">
      <c r="A822" s="7"/>
      <c r="B822" s="7"/>
      <c r="C822" s="7"/>
      <c r="D822" s="8"/>
      <c r="E822" s="8"/>
      <c r="F822" s="8"/>
      <c r="G822" s="8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 spans="1:31" x14ac:dyDescent="0.15">
      <c r="A823" s="7"/>
      <c r="B823" s="7"/>
      <c r="C823" s="7"/>
      <c r="D823" s="8"/>
      <c r="E823" s="8"/>
      <c r="F823" s="8"/>
      <c r="G823" s="8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 spans="1:31" x14ac:dyDescent="0.15">
      <c r="A824" s="7"/>
      <c r="B824" s="7"/>
      <c r="C824" s="7"/>
      <c r="D824" s="8"/>
      <c r="E824" s="8"/>
      <c r="F824" s="8"/>
      <c r="G824" s="8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 spans="1:31" x14ac:dyDescent="0.15">
      <c r="A825" s="7"/>
      <c r="B825" s="7"/>
      <c r="C825" s="7"/>
      <c r="D825" s="8"/>
      <c r="E825" s="8"/>
      <c r="F825" s="8"/>
      <c r="G825" s="8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 spans="1:31" x14ac:dyDescent="0.15">
      <c r="A826" s="7"/>
      <c r="B826" s="7"/>
      <c r="C826" s="7"/>
      <c r="D826" s="8"/>
      <c r="E826" s="8"/>
      <c r="F826" s="8"/>
      <c r="G826" s="8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 spans="1:31" x14ac:dyDescent="0.15">
      <c r="A827" s="7"/>
      <c r="B827" s="7"/>
      <c r="C827" s="7"/>
      <c r="D827" s="8"/>
      <c r="E827" s="8"/>
      <c r="F827" s="8"/>
      <c r="G827" s="8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 spans="1:31" x14ac:dyDescent="0.15">
      <c r="A828" s="7"/>
      <c r="B828" s="7"/>
      <c r="C828" s="7"/>
      <c r="D828" s="8"/>
      <c r="E828" s="8"/>
      <c r="F828" s="8"/>
      <c r="G828" s="8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 spans="1:31" x14ac:dyDescent="0.15">
      <c r="A829" s="7"/>
      <c r="B829" s="7"/>
      <c r="C829" s="7"/>
      <c r="D829" s="8"/>
      <c r="E829" s="8"/>
      <c r="F829" s="8"/>
      <c r="G829" s="8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 spans="1:31" x14ac:dyDescent="0.15">
      <c r="A830" s="7"/>
      <c r="B830" s="7"/>
      <c r="C830" s="7"/>
      <c r="D830" s="8"/>
      <c r="E830" s="8"/>
      <c r="F830" s="8"/>
      <c r="G830" s="8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 spans="1:31" x14ac:dyDescent="0.15">
      <c r="A831" s="7"/>
      <c r="B831" s="7"/>
      <c r="C831" s="7"/>
      <c r="D831" s="8"/>
      <c r="E831" s="8"/>
      <c r="F831" s="8"/>
      <c r="G831" s="8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 spans="1:31" x14ac:dyDescent="0.15">
      <c r="A832" s="7"/>
      <c r="B832" s="7"/>
      <c r="C832" s="7"/>
      <c r="D832" s="8"/>
      <c r="E832" s="8"/>
      <c r="F832" s="8"/>
      <c r="G832" s="8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 spans="1:31" x14ac:dyDescent="0.15">
      <c r="A833" s="7"/>
      <c r="B833" s="7"/>
      <c r="C833" s="7"/>
      <c r="D833" s="8"/>
      <c r="E833" s="8"/>
      <c r="F833" s="8"/>
      <c r="G833" s="8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 spans="1:31" x14ac:dyDescent="0.15">
      <c r="A834" s="7"/>
      <c r="B834" s="7"/>
      <c r="C834" s="7"/>
      <c r="D834" s="8"/>
      <c r="E834" s="8"/>
      <c r="F834" s="8"/>
      <c r="G834" s="8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 spans="1:31" x14ac:dyDescent="0.15">
      <c r="A835" s="7"/>
      <c r="B835" s="7"/>
      <c r="C835" s="7"/>
      <c r="D835" s="8"/>
      <c r="E835" s="8"/>
      <c r="F835" s="8"/>
      <c r="G835" s="8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 spans="1:31" x14ac:dyDescent="0.15">
      <c r="A836" s="7"/>
      <c r="B836" s="7"/>
      <c r="C836" s="7"/>
      <c r="D836" s="8"/>
      <c r="E836" s="8"/>
      <c r="F836" s="8"/>
      <c r="G836" s="8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 spans="1:31" x14ac:dyDescent="0.15">
      <c r="A837" s="7"/>
      <c r="B837" s="7"/>
      <c r="C837" s="7"/>
      <c r="D837" s="8"/>
      <c r="E837" s="8"/>
      <c r="F837" s="8"/>
      <c r="G837" s="8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 spans="1:31" x14ac:dyDescent="0.15">
      <c r="A838" s="7"/>
      <c r="B838" s="7"/>
      <c r="C838" s="7"/>
      <c r="D838" s="8"/>
      <c r="E838" s="8"/>
      <c r="F838" s="8"/>
      <c r="G838" s="8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 spans="1:31" x14ac:dyDescent="0.15">
      <c r="A839" s="7"/>
      <c r="B839" s="7"/>
      <c r="C839" s="7"/>
      <c r="D839" s="8"/>
      <c r="E839" s="8"/>
      <c r="F839" s="8"/>
      <c r="G839" s="8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 spans="1:31" x14ac:dyDescent="0.15">
      <c r="A840" s="7"/>
      <c r="B840" s="7"/>
      <c r="C840" s="7"/>
      <c r="D840" s="8"/>
      <c r="E840" s="8"/>
      <c r="F840" s="8"/>
      <c r="G840" s="8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 spans="1:31" x14ac:dyDescent="0.15">
      <c r="A841" s="7"/>
      <c r="B841" s="7"/>
      <c r="C841" s="7"/>
      <c r="D841" s="8"/>
      <c r="E841" s="8"/>
      <c r="F841" s="8"/>
      <c r="G841" s="8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 spans="1:31" x14ac:dyDescent="0.15">
      <c r="A842" s="7"/>
      <c r="B842" s="7"/>
      <c r="C842" s="7"/>
      <c r="D842" s="8"/>
      <c r="E842" s="8"/>
      <c r="F842" s="8"/>
      <c r="G842" s="8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 spans="1:31" x14ac:dyDescent="0.15">
      <c r="A843" s="7"/>
      <c r="B843" s="7"/>
      <c r="C843" s="7"/>
      <c r="D843" s="8"/>
      <c r="E843" s="8"/>
      <c r="F843" s="8"/>
      <c r="G843" s="8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 spans="1:31" x14ac:dyDescent="0.15">
      <c r="A844" s="7"/>
      <c r="B844" s="7"/>
      <c r="C844" s="7"/>
      <c r="D844" s="8"/>
      <c r="E844" s="8"/>
      <c r="F844" s="8"/>
      <c r="G844" s="8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 spans="1:31" x14ac:dyDescent="0.15">
      <c r="A845" s="7"/>
      <c r="B845" s="7"/>
      <c r="C845" s="7"/>
      <c r="D845" s="8"/>
      <c r="E845" s="8"/>
      <c r="F845" s="8"/>
      <c r="G845" s="8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 spans="1:31" x14ac:dyDescent="0.15">
      <c r="A846" s="7"/>
      <c r="B846" s="7"/>
      <c r="C846" s="7"/>
      <c r="D846" s="8"/>
      <c r="E846" s="8"/>
      <c r="F846" s="8"/>
      <c r="G846" s="8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 spans="1:31" x14ac:dyDescent="0.15">
      <c r="A847" s="7"/>
      <c r="B847" s="7"/>
      <c r="C847" s="7"/>
      <c r="D847" s="8"/>
      <c r="E847" s="8"/>
      <c r="F847" s="8"/>
      <c r="G847" s="8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 spans="1:31" x14ac:dyDescent="0.15">
      <c r="A848" s="7"/>
      <c r="B848" s="7"/>
      <c r="C848" s="7"/>
      <c r="D848" s="8"/>
      <c r="E848" s="8"/>
      <c r="F848" s="8"/>
      <c r="G848" s="8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 spans="1:31" x14ac:dyDescent="0.15">
      <c r="A849" s="7"/>
      <c r="B849" s="7"/>
      <c r="C849" s="7"/>
      <c r="D849" s="8"/>
      <c r="E849" s="8"/>
      <c r="F849" s="8"/>
      <c r="G849" s="8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 spans="1:31" x14ac:dyDescent="0.15">
      <c r="A850" s="7"/>
      <c r="B850" s="7"/>
      <c r="C850" s="7"/>
      <c r="D850" s="8"/>
      <c r="E850" s="8"/>
      <c r="F850" s="8"/>
      <c r="G850" s="8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 spans="1:31" x14ac:dyDescent="0.15">
      <c r="A851" s="7"/>
      <c r="B851" s="7"/>
      <c r="C851" s="7"/>
      <c r="D851" s="8"/>
      <c r="E851" s="8"/>
      <c r="F851" s="8"/>
      <c r="G851" s="8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 spans="1:31" x14ac:dyDescent="0.15">
      <c r="A852" s="7"/>
      <c r="B852" s="7"/>
      <c r="C852" s="7"/>
      <c r="D852" s="8"/>
      <c r="E852" s="8"/>
      <c r="F852" s="8"/>
      <c r="G852" s="8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 spans="1:31" x14ac:dyDescent="0.15">
      <c r="A853" s="7"/>
      <c r="B853" s="7"/>
      <c r="C853" s="7"/>
      <c r="D853" s="8"/>
      <c r="E853" s="8"/>
      <c r="F853" s="8"/>
      <c r="G853" s="8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 spans="1:31" x14ac:dyDescent="0.15">
      <c r="A854" s="7"/>
      <c r="B854" s="7"/>
      <c r="C854" s="7"/>
      <c r="D854" s="8"/>
      <c r="E854" s="8"/>
      <c r="F854" s="8"/>
      <c r="G854" s="8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 spans="1:31" x14ac:dyDescent="0.15">
      <c r="A855" s="7"/>
      <c r="B855" s="7"/>
      <c r="C855" s="7"/>
      <c r="D855" s="8"/>
      <c r="E855" s="8"/>
      <c r="F855" s="8"/>
      <c r="G855" s="8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 spans="1:31" x14ac:dyDescent="0.15">
      <c r="A856" s="7"/>
      <c r="B856" s="7"/>
      <c r="C856" s="7"/>
      <c r="D856" s="8"/>
      <c r="E856" s="8"/>
      <c r="F856" s="8"/>
      <c r="G856" s="8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 spans="1:31" x14ac:dyDescent="0.15">
      <c r="A857" s="7"/>
      <c r="B857" s="7"/>
      <c r="C857" s="7"/>
      <c r="D857" s="8"/>
      <c r="E857" s="8"/>
      <c r="F857" s="8"/>
      <c r="G857" s="8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 spans="1:31" x14ac:dyDescent="0.15">
      <c r="A858" s="7"/>
      <c r="B858" s="7"/>
      <c r="C858" s="7"/>
      <c r="D858" s="8"/>
      <c r="E858" s="8"/>
      <c r="F858" s="8"/>
      <c r="G858" s="8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 spans="1:31" x14ac:dyDescent="0.15">
      <c r="A859" s="7"/>
      <c r="B859" s="7"/>
      <c r="C859" s="7"/>
      <c r="D859" s="8"/>
      <c r="E859" s="8"/>
      <c r="F859" s="8"/>
      <c r="G859" s="8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 spans="1:31" x14ac:dyDescent="0.15">
      <c r="A860" s="7"/>
      <c r="B860" s="7"/>
      <c r="C860" s="7"/>
      <c r="D860" s="8"/>
      <c r="E860" s="8"/>
      <c r="F860" s="8"/>
      <c r="G860" s="8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 spans="1:31" x14ac:dyDescent="0.15">
      <c r="A861" s="7"/>
      <c r="B861" s="7"/>
      <c r="C861" s="7"/>
      <c r="D861" s="8"/>
      <c r="E861" s="8"/>
      <c r="F861" s="8"/>
      <c r="G861" s="8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 spans="1:31" x14ac:dyDescent="0.15">
      <c r="A862" s="7"/>
      <c r="B862" s="7"/>
      <c r="C862" s="7"/>
      <c r="D862" s="8"/>
      <c r="E862" s="8"/>
      <c r="F862" s="8"/>
      <c r="G862" s="8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 spans="1:31" x14ac:dyDescent="0.15">
      <c r="A863" s="7"/>
      <c r="B863" s="7"/>
      <c r="C863" s="7"/>
      <c r="D863" s="8"/>
      <c r="E863" s="8"/>
      <c r="F863" s="8"/>
      <c r="G863" s="8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 spans="1:31" x14ac:dyDescent="0.15">
      <c r="A864" s="7"/>
      <c r="B864" s="7"/>
      <c r="C864" s="7"/>
      <c r="D864" s="8"/>
      <c r="E864" s="8"/>
      <c r="F864" s="8"/>
      <c r="G864" s="8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 spans="1:31" x14ac:dyDescent="0.15">
      <c r="A865" s="7"/>
      <c r="B865" s="7"/>
      <c r="C865" s="7"/>
      <c r="D865" s="8"/>
      <c r="E865" s="8"/>
      <c r="F865" s="8"/>
      <c r="G865" s="8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 spans="1:31" x14ac:dyDescent="0.15">
      <c r="A866" s="7"/>
      <c r="B866" s="7"/>
      <c r="C866" s="7"/>
      <c r="D866" s="8"/>
      <c r="E866" s="8"/>
      <c r="F866" s="8"/>
      <c r="G866" s="8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 spans="1:31" x14ac:dyDescent="0.15">
      <c r="A867" s="7"/>
      <c r="B867" s="7"/>
      <c r="C867" s="7"/>
      <c r="D867" s="8"/>
      <c r="E867" s="8"/>
      <c r="F867" s="8"/>
      <c r="G867" s="8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 spans="1:31" x14ac:dyDescent="0.15">
      <c r="A868" s="7"/>
      <c r="B868" s="7"/>
      <c r="C868" s="7"/>
      <c r="D868" s="8"/>
      <c r="E868" s="8"/>
      <c r="F868" s="8"/>
      <c r="G868" s="8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 spans="1:31" x14ac:dyDescent="0.15">
      <c r="A869" s="7"/>
      <c r="B869" s="7"/>
      <c r="C869" s="7"/>
      <c r="D869" s="8"/>
      <c r="E869" s="8"/>
      <c r="F869" s="8"/>
      <c r="G869" s="8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 spans="1:31" x14ac:dyDescent="0.15">
      <c r="A870" s="7"/>
      <c r="B870" s="7"/>
      <c r="C870" s="7"/>
      <c r="D870" s="8"/>
      <c r="E870" s="8"/>
      <c r="F870" s="8"/>
      <c r="G870" s="8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 spans="1:31" x14ac:dyDescent="0.15">
      <c r="A871" s="7"/>
      <c r="B871" s="7"/>
      <c r="C871" s="7"/>
      <c r="D871" s="8"/>
      <c r="E871" s="8"/>
      <c r="F871" s="8"/>
      <c r="G871" s="8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 spans="1:31" x14ac:dyDescent="0.15">
      <c r="A872" s="7"/>
      <c r="B872" s="7"/>
      <c r="C872" s="7"/>
      <c r="D872" s="8"/>
      <c r="E872" s="8"/>
      <c r="F872" s="8"/>
      <c r="G872" s="8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 spans="1:31" x14ac:dyDescent="0.15">
      <c r="A873" s="7"/>
      <c r="B873" s="7"/>
      <c r="C873" s="7"/>
      <c r="D873" s="8"/>
      <c r="E873" s="8"/>
      <c r="F873" s="8"/>
      <c r="G873" s="8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 spans="1:31" x14ac:dyDescent="0.15">
      <c r="A874" s="7"/>
      <c r="B874" s="7"/>
      <c r="C874" s="7"/>
      <c r="D874" s="8"/>
      <c r="E874" s="8"/>
      <c r="F874" s="8"/>
      <c r="G874" s="8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 spans="1:31" x14ac:dyDescent="0.15">
      <c r="A875" s="7"/>
      <c r="B875" s="7"/>
      <c r="C875" s="7"/>
      <c r="D875" s="8"/>
      <c r="E875" s="8"/>
      <c r="F875" s="8"/>
      <c r="G875" s="8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 spans="1:31" x14ac:dyDescent="0.15">
      <c r="A876" s="7"/>
      <c r="B876" s="7"/>
      <c r="C876" s="7"/>
      <c r="D876" s="8"/>
      <c r="E876" s="8"/>
      <c r="F876" s="8"/>
      <c r="G876" s="8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 spans="1:31" x14ac:dyDescent="0.15">
      <c r="A877" s="7"/>
      <c r="B877" s="7"/>
      <c r="C877" s="7"/>
      <c r="D877" s="8"/>
      <c r="E877" s="8"/>
      <c r="F877" s="8"/>
      <c r="G877" s="8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 spans="1:31" x14ac:dyDescent="0.15">
      <c r="A878" s="7"/>
      <c r="B878" s="7"/>
      <c r="C878" s="7"/>
      <c r="D878" s="8"/>
      <c r="E878" s="8"/>
      <c r="F878" s="8"/>
      <c r="G878" s="8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 spans="1:31" x14ac:dyDescent="0.15">
      <c r="A879" s="7"/>
      <c r="B879" s="7"/>
      <c r="C879" s="7"/>
      <c r="D879" s="8"/>
      <c r="E879" s="8"/>
      <c r="F879" s="8"/>
      <c r="G879" s="8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 spans="1:31" x14ac:dyDescent="0.15">
      <c r="A880" s="7"/>
      <c r="B880" s="7"/>
      <c r="C880" s="7"/>
      <c r="D880" s="8"/>
      <c r="E880" s="8"/>
      <c r="F880" s="8"/>
      <c r="G880" s="8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 spans="1:31" x14ac:dyDescent="0.15">
      <c r="A881" s="7"/>
      <c r="B881" s="7"/>
      <c r="C881" s="7"/>
      <c r="D881" s="8"/>
      <c r="E881" s="8"/>
      <c r="F881" s="8"/>
      <c r="G881" s="8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 spans="1:31" x14ac:dyDescent="0.15">
      <c r="A882" s="7"/>
      <c r="B882" s="7"/>
      <c r="C882" s="7"/>
      <c r="D882" s="8"/>
      <c r="E882" s="8"/>
      <c r="F882" s="8"/>
      <c r="G882" s="8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 spans="1:31" x14ac:dyDescent="0.15">
      <c r="A883" s="7"/>
      <c r="B883" s="7"/>
      <c r="C883" s="7"/>
      <c r="D883" s="8"/>
      <c r="E883" s="8"/>
      <c r="F883" s="8"/>
      <c r="G883" s="8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 spans="1:31" x14ac:dyDescent="0.15">
      <c r="A884" s="7"/>
      <c r="B884" s="7"/>
      <c r="C884" s="7"/>
      <c r="D884" s="8"/>
      <c r="E884" s="8"/>
      <c r="F884" s="8"/>
      <c r="G884" s="8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 spans="1:31" x14ac:dyDescent="0.15">
      <c r="A885" s="7"/>
      <c r="B885" s="7"/>
      <c r="C885" s="7"/>
      <c r="D885" s="8"/>
      <c r="E885" s="8"/>
      <c r="F885" s="8"/>
      <c r="G885" s="8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 spans="1:31" x14ac:dyDescent="0.15">
      <c r="A886" s="7"/>
      <c r="B886" s="7"/>
      <c r="C886" s="7"/>
      <c r="D886" s="8"/>
      <c r="E886" s="8"/>
      <c r="F886" s="8"/>
      <c r="G886" s="8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 spans="1:31" x14ac:dyDescent="0.15">
      <c r="A887" s="7"/>
      <c r="B887" s="7"/>
      <c r="C887" s="7"/>
      <c r="D887" s="8"/>
      <c r="E887" s="8"/>
      <c r="F887" s="8"/>
      <c r="G887" s="8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 spans="1:31" x14ac:dyDescent="0.15">
      <c r="A888" s="7"/>
      <c r="B888" s="7"/>
      <c r="C888" s="7"/>
      <c r="D888" s="8"/>
      <c r="E888" s="8"/>
      <c r="F888" s="8"/>
      <c r="G888" s="8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 spans="1:31" x14ac:dyDescent="0.15">
      <c r="A889" s="7"/>
      <c r="B889" s="7"/>
      <c r="C889" s="7"/>
      <c r="D889" s="8"/>
      <c r="E889" s="8"/>
      <c r="F889" s="8"/>
      <c r="G889" s="8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 spans="1:31" ht="15.75" customHeight="1" x14ac:dyDescent="0.15">
      <c r="A890" s="7"/>
      <c r="B890" s="7"/>
      <c r="C890" s="7"/>
      <c r="D890" s="8"/>
      <c r="E890" s="8"/>
      <c r="F890" s="8"/>
      <c r="G890" s="8"/>
      <c r="H890" s="7"/>
      <c r="I890" s="8"/>
      <c r="J890" s="8"/>
      <c r="K890" s="8"/>
    </row>
    <row r="891" spans="1:31" ht="15.75" customHeight="1" x14ac:dyDescent="0.15">
      <c r="A891" s="7"/>
      <c r="B891" s="7"/>
      <c r="C891" s="7"/>
      <c r="D891" s="8"/>
      <c r="E891" s="8"/>
      <c r="F891" s="8"/>
      <c r="G891" s="8"/>
      <c r="H891" s="7"/>
      <c r="I891" s="8"/>
      <c r="J891" s="8"/>
      <c r="K891" s="8"/>
    </row>
    <row r="892" spans="1:31" ht="15.75" customHeight="1" x14ac:dyDescent="0.15">
      <c r="A892" s="7"/>
      <c r="B892" s="7"/>
      <c r="C892" s="7"/>
      <c r="D892" s="8"/>
      <c r="E892" s="8"/>
      <c r="F892" s="8"/>
      <c r="G892" s="8"/>
      <c r="H892" s="7"/>
      <c r="I892" s="8"/>
      <c r="J892" s="8"/>
      <c r="K892" s="8"/>
    </row>
    <row r="893" spans="1:31" ht="15.75" customHeight="1" x14ac:dyDescent="0.15">
      <c r="A893" s="7"/>
      <c r="B893" s="7"/>
      <c r="C893" s="7"/>
      <c r="D893" s="8"/>
      <c r="E893" s="8"/>
      <c r="F893" s="8"/>
      <c r="G893" s="8"/>
      <c r="H893" s="7"/>
      <c r="I893" s="8"/>
      <c r="J893" s="8"/>
      <c r="K893" s="8"/>
    </row>
    <row r="894" spans="1:31" ht="15.75" customHeight="1" x14ac:dyDescent="0.15">
      <c r="A894" s="7"/>
      <c r="B894" s="7"/>
      <c r="C894" s="7"/>
      <c r="D894" s="8"/>
      <c r="E894" s="8"/>
      <c r="F894" s="8"/>
      <c r="G894" s="8"/>
      <c r="H894" s="7"/>
      <c r="I894" s="8"/>
      <c r="J894" s="8"/>
      <c r="K894" s="8"/>
    </row>
    <row r="895" spans="1:31" ht="15.75" customHeight="1" x14ac:dyDescent="0.15">
      <c r="A895" s="7"/>
      <c r="B895" s="7"/>
      <c r="C895" s="7"/>
      <c r="D895" s="8"/>
      <c r="E895" s="8"/>
      <c r="F895" s="8"/>
      <c r="G895" s="8"/>
      <c r="H895" s="7"/>
      <c r="I895" s="8"/>
      <c r="J895" s="8"/>
      <c r="K895" s="8"/>
    </row>
    <row r="896" spans="1:31" ht="15.75" customHeight="1" x14ac:dyDescent="0.15">
      <c r="A896" s="7"/>
      <c r="B896" s="7"/>
      <c r="C896" s="7"/>
      <c r="D896" s="8"/>
      <c r="E896" s="8"/>
      <c r="F896" s="8"/>
      <c r="G896" s="8"/>
      <c r="H896" s="7"/>
      <c r="I896" s="8"/>
      <c r="J896" s="8"/>
      <c r="K896" s="8"/>
    </row>
    <row r="897" spans="1:11" ht="15.75" customHeight="1" x14ac:dyDescent="0.15">
      <c r="A897" s="7"/>
      <c r="B897" s="7"/>
      <c r="C897" s="7"/>
      <c r="D897" s="8"/>
      <c r="E897" s="8"/>
      <c r="F897" s="8"/>
      <c r="G897" s="8"/>
      <c r="H897" s="7"/>
      <c r="I897" s="8"/>
      <c r="J897" s="8"/>
      <c r="K897" s="8"/>
    </row>
    <row r="898" spans="1:11" ht="15.75" customHeight="1" x14ac:dyDescent="0.15">
      <c r="A898" s="7"/>
      <c r="B898" s="7"/>
      <c r="C898" s="7"/>
      <c r="D898" s="8"/>
      <c r="E898" s="8"/>
      <c r="F898" s="8"/>
      <c r="G898" s="8"/>
      <c r="H898" s="7"/>
      <c r="I898" s="8"/>
      <c r="J898" s="8"/>
      <c r="K898" s="8"/>
    </row>
    <row r="899" spans="1:11" ht="15.75" customHeight="1" x14ac:dyDescent="0.15">
      <c r="A899" s="7"/>
      <c r="B899" s="7"/>
      <c r="C899" s="7"/>
      <c r="D899" s="8"/>
      <c r="E899" s="8"/>
      <c r="F899" s="8"/>
      <c r="G899" s="8"/>
      <c r="H899" s="7"/>
      <c r="I899" s="8"/>
      <c r="J899" s="8"/>
      <c r="K899" s="8"/>
    </row>
    <row r="900" spans="1:11" ht="15.75" customHeight="1" x14ac:dyDescent="0.15">
      <c r="A900" s="7"/>
      <c r="B900" s="7"/>
      <c r="C900" s="7"/>
      <c r="D900" s="8"/>
      <c r="E900" s="8"/>
      <c r="F900" s="8"/>
      <c r="G900" s="8"/>
      <c r="H900" s="7"/>
      <c r="I900" s="8"/>
      <c r="J900" s="8"/>
      <c r="K900" s="8"/>
    </row>
    <row r="901" spans="1:11" ht="15.75" customHeight="1" x14ac:dyDescent="0.15">
      <c r="A901" s="7"/>
      <c r="B901" s="7"/>
      <c r="C901" s="7"/>
      <c r="D901" s="8"/>
      <c r="E901" s="8"/>
      <c r="F901" s="8"/>
      <c r="G901" s="8"/>
      <c r="H901" s="7"/>
      <c r="I901" s="8"/>
      <c r="J901" s="8"/>
      <c r="K901" s="8"/>
    </row>
    <row r="902" spans="1:11" ht="15.75" customHeight="1" x14ac:dyDescent="0.15">
      <c r="A902" s="7"/>
      <c r="B902" s="7"/>
      <c r="C902" s="7"/>
      <c r="D902" s="8"/>
      <c r="E902" s="8"/>
      <c r="F902" s="8"/>
      <c r="G902" s="8"/>
      <c r="H902" s="7"/>
      <c r="I902" s="8"/>
      <c r="J902" s="8"/>
      <c r="K902" s="8"/>
    </row>
    <row r="903" spans="1:11" ht="15.75" customHeight="1" x14ac:dyDescent="0.15">
      <c r="A903" s="7"/>
      <c r="B903" s="7"/>
      <c r="C903" s="7"/>
      <c r="D903" s="8"/>
      <c r="E903" s="8"/>
      <c r="F903" s="8"/>
      <c r="G903" s="8"/>
      <c r="H903" s="7"/>
      <c r="I903" s="8"/>
      <c r="J903" s="8"/>
      <c r="K903" s="8"/>
    </row>
    <row r="904" spans="1:11" ht="15.75" customHeight="1" x14ac:dyDescent="0.15">
      <c r="A904" s="7"/>
      <c r="B904" s="7"/>
      <c r="C904" s="7"/>
      <c r="D904" s="8"/>
      <c r="E904" s="8"/>
      <c r="F904" s="8"/>
      <c r="G904" s="8"/>
      <c r="H904" s="7"/>
      <c r="I904" s="8"/>
      <c r="J904" s="8"/>
      <c r="K904" s="8"/>
    </row>
    <row r="905" spans="1:11" ht="15.75" customHeight="1" x14ac:dyDescent="0.15">
      <c r="A905" s="7"/>
      <c r="B905" s="7"/>
      <c r="C905" s="7"/>
      <c r="D905" s="8"/>
      <c r="E905" s="8"/>
      <c r="F905" s="8"/>
      <c r="G905" s="8"/>
      <c r="H905" s="7"/>
      <c r="I905" s="8"/>
      <c r="J905" s="8"/>
      <c r="K905" s="8"/>
    </row>
    <row r="906" spans="1:11" ht="15.75" customHeight="1" x14ac:dyDescent="0.15">
      <c r="A906" s="7"/>
      <c r="B906" s="7"/>
      <c r="C906" s="7"/>
      <c r="D906" s="8"/>
      <c r="E906" s="8"/>
      <c r="F906" s="8"/>
      <c r="G906" s="8"/>
      <c r="H906" s="7"/>
      <c r="I906" s="8"/>
      <c r="J906" s="8"/>
      <c r="K906" s="8"/>
    </row>
    <row r="907" spans="1:11" ht="15.75" customHeight="1" x14ac:dyDescent="0.15">
      <c r="A907" s="7"/>
      <c r="B907" s="7"/>
      <c r="C907" s="7"/>
      <c r="D907" s="8"/>
      <c r="E907" s="8"/>
      <c r="F907" s="8"/>
      <c r="G907" s="8"/>
      <c r="H907" s="7"/>
      <c r="I907" s="8"/>
      <c r="J907" s="8"/>
      <c r="K907" s="8"/>
    </row>
    <row r="908" spans="1:11" ht="15.75" customHeight="1" x14ac:dyDescent="0.15">
      <c r="A908" s="7"/>
      <c r="B908" s="7"/>
      <c r="C908" s="7"/>
      <c r="D908" s="8"/>
      <c r="E908" s="8"/>
      <c r="F908" s="8"/>
      <c r="G908" s="8"/>
      <c r="H908" s="7"/>
      <c r="I908" s="8"/>
      <c r="J908" s="8"/>
      <c r="K908" s="8"/>
    </row>
    <row r="909" spans="1:11" ht="15.75" customHeight="1" x14ac:dyDescent="0.15">
      <c r="A909" s="7"/>
      <c r="B909" s="7"/>
      <c r="C909" s="7"/>
      <c r="D909" s="8"/>
      <c r="E909" s="8"/>
      <c r="F909" s="8"/>
      <c r="G909" s="8"/>
      <c r="H909" s="7"/>
      <c r="I909" s="8"/>
      <c r="J909" s="8"/>
      <c r="K909" s="8"/>
    </row>
    <row r="910" spans="1:11" ht="15.75" customHeight="1" x14ac:dyDescent="0.15">
      <c r="A910" s="7"/>
      <c r="B910" s="7"/>
      <c r="C910" s="7"/>
      <c r="D910" s="8"/>
      <c r="E910" s="8"/>
      <c r="F910" s="8"/>
      <c r="G910" s="8"/>
      <c r="H910" s="7"/>
      <c r="I910" s="8"/>
      <c r="J910" s="8"/>
      <c r="K910" s="8"/>
    </row>
    <row r="911" spans="1:11" ht="15.75" customHeight="1" x14ac:dyDescent="0.15">
      <c r="A911" s="7"/>
      <c r="B911" s="7"/>
      <c r="C911" s="7"/>
      <c r="D911" s="8"/>
      <c r="E911" s="8"/>
      <c r="F911" s="8"/>
      <c r="G911" s="8"/>
      <c r="H911" s="7"/>
      <c r="I911" s="8"/>
      <c r="J911" s="8"/>
      <c r="K911" s="8"/>
    </row>
    <row r="912" spans="1:11" ht="15.75" customHeight="1" x14ac:dyDescent="0.15">
      <c r="A912" s="7"/>
      <c r="B912" s="7"/>
      <c r="C912" s="7"/>
      <c r="D912" s="8"/>
      <c r="E912" s="8"/>
      <c r="F912" s="8"/>
      <c r="G912" s="8"/>
      <c r="H912" s="7"/>
      <c r="I912" s="8"/>
      <c r="J912" s="8"/>
      <c r="K912" s="8"/>
    </row>
    <row r="913" spans="1:11" ht="15.75" customHeight="1" x14ac:dyDescent="0.15">
      <c r="A913" s="7"/>
      <c r="B913" s="7"/>
      <c r="C913" s="7"/>
      <c r="D913" s="8"/>
      <c r="E913" s="8"/>
      <c r="F913" s="8"/>
      <c r="G913" s="8"/>
      <c r="H913" s="7"/>
      <c r="I913" s="8"/>
      <c r="J913" s="8"/>
      <c r="K913" s="8"/>
    </row>
    <row r="914" spans="1:11" ht="15.75" customHeight="1" x14ac:dyDescent="0.15">
      <c r="A914" s="7"/>
      <c r="B914" s="7"/>
      <c r="C914" s="7"/>
      <c r="D914" s="8"/>
      <c r="E914" s="8"/>
      <c r="F914" s="8"/>
      <c r="G914" s="8"/>
      <c r="H914" s="7"/>
      <c r="I914" s="8"/>
      <c r="J914" s="8"/>
      <c r="K914" s="8"/>
    </row>
    <row r="915" spans="1:11" ht="15.75" customHeight="1" x14ac:dyDescent="0.15">
      <c r="A915" s="7"/>
      <c r="B915" s="7"/>
      <c r="C915" s="7"/>
      <c r="D915" s="8"/>
      <c r="E915" s="8"/>
      <c r="F915" s="8"/>
      <c r="G915" s="8"/>
      <c r="H915" s="7"/>
      <c r="I915" s="8"/>
      <c r="J915" s="8"/>
      <c r="K915" s="8"/>
    </row>
    <row r="916" spans="1:11" ht="15.75" customHeight="1" x14ac:dyDescent="0.15">
      <c r="A916" s="7"/>
      <c r="B916" s="7"/>
      <c r="C916" s="7"/>
      <c r="D916" s="8"/>
      <c r="E916" s="8"/>
      <c r="F916" s="8"/>
      <c r="G916" s="8"/>
      <c r="H916" s="7"/>
      <c r="I916" s="8"/>
      <c r="J916" s="8"/>
      <c r="K916" s="8"/>
    </row>
    <row r="917" spans="1:11" ht="15.75" customHeight="1" x14ac:dyDescent="0.15">
      <c r="A917" s="7"/>
      <c r="B917" s="7"/>
      <c r="C917" s="7"/>
      <c r="D917" s="8"/>
      <c r="E917" s="8"/>
      <c r="F917" s="8"/>
      <c r="G917" s="8"/>
      <c r="H917" s="7"/>
      <c r="I917" s="8"/>
      <c r="J917" s="8"/>
      <c r="K917" s="8"/>
    </row>
    <row r="918" spans="1:11" ht="15.75" customHeight="1" x14ac:dyDescent="0.15">
      <c r="A918" s="7"/>
      <c r="B918" s="7"/>
      <c r="C918" s="7"/>
      <c r="D918" s="8"/>
      <c r="E918" s="8"/>
      <c r="F918" s="8"/>
      <c r="G918" s="8"/>
      <c r="H918" s="7"/>
      <c r="I918" s="8"/>
      <c r="J918" s="8"/>
      <c r="K918" s="8"/>
    </row>
    <row r="919" spans="1:11" ht="15.75" customHeight="1" x14ac:dyDescent="0.15">
      <c r="A919" s="7"/>
      <c r="B919" s="7"/>
      <c r="C919" s="7"/>
      <c r="D919" s="8"/>
      <c r="E919" s="8"/>
      <c r="F919" s="8"/>
      <c r="G919" s="8"/>
      <c r="H919" s="7"/>
      <c r="I919" s="8"/>
      <c r="J919" s="8"/>
      <c r="K919" s="8"/>
    </row>
    <row r="920" spans="1:11" ht="15.75" customHeight="1" x14ac:dyDescent="0.15">
      <c r="A920" s="7"/>
      <c r="B920" s="7"/>
      <c r="C920" s="7"/>
      <c r="D920" s="8"/>
      <c r="E920" s="8"/>
      <c r="F920" s="8"/>
      <c r="G920" s="8"/>
      <c r="H920" s="7"/>
      <c r="I920" s="8"/>
      <c r="J920" s="8"/>
      <c r="K920" s="8"/>
    </row>
    <row r="921" spans="1:11" ht="15.75" customHeight="1" x14ac:dyDescent="0.15">
      <c r="A921" s="7"/>
      <c r="B921" s="7"/>
      <c r="C921" s="7"/>
      <c r="D921" s="8"/>
      <c r="E921" s="8"/>
      <c r="F921" s="8"/>
      <c r="G921" s="8"/>
      <c r="H921" s="7"/>
      <c r="I921" s="8"/>
      <c r="J921" s="8"/>
      <c r="K921" s="8"/>
    </row>
    <row r="922" spans="1:11" ht="15.75" customHeight="1" x14ac:dyDescent="0.15">
      <c r="A922" s="7"/>
      <c r="B922" s="7"/>
      <c r="C922" s="7"/>
      <c r="D922" s="8"/>
      <c r="E922" s="8"/>
      <c r="F922" s="8"/>
      <c r="G922" s="8"/>
      <c r="H922" s="7"/>
      <c r="I922" s="8"/>
      <c r="J922" s="8"/>
    </row>
    <row r="923" spans="1:11" ht="15.75" customHeight="1" x14ac:dyDescent="0.15">
      <c r="A923" s="7"/>
      <c r="B923" s="7"/>
      <c r="C923" s="7"/>
      <c r="D923" s="8"/>
      <c r="E923" s="8"/>
      <c r="F923" s="8"/>
      <c r="G923" s="8"/>
      <c r="H923" s="7"/>
      <c r="I923" s="8"/>
      <c r="J923" s="8"/>
    </row>
    <row r="924" spans="1:11" ht="15.75" customHeight="1" x14ac:dyDescent="0.15">
      <c r="A924" s="7"/>
      <c r="B924" s="7"/>
      <c r="C924" s="7"/>
      <c r="D924" s="8"/>
      <c r="E924" s="8"/>
      <c r="F924" s="8"/>
      <c r="G924" s="8"/>
      <c r="H924" s="7"/>
      <c r="I924" s="8"/>
      <c r="J924" s="8"/>
    </row>
    <row r="925" spans="1:11" ht="15.75" customHeight="1" x14ac:dyDescent="0.15">
      <c r="A925" s="7"/>
      <c r="B925" s="7"/>
      <c r="C925" s="7"/>
      <c r="D925" s="8"/>
      <c r="E925" s="8"/>
      <c r="F925" s="8"/>
      <c r="G925" s="8"/>
      <c r="H925" s="7"/>
      <c r="I925" s="8"/>
      <c r="J925" s="8"/>
    </row>
    <row r="926" spans="1:11" ht="15.75" customHeight="1" x14ac:dyDescent="0.15">
      <c r="A926" s="7"/>
      <c r="B926" s="7"/>
      <c r="C926" s="7"/>
      <c r="D926" s="8"/>
      <c r="E926" s="8"/>
      <c r="F926" s="8"/>
      <c r="G926" s="8"/>
      <c r="H926" s="7"/>
      <c r="I926" s="8"/>
      <c r="J926" s="8"/>
    </row>
    <row r="927" spans="1:11" ht="15.75" customHeight="1" x14ac:dyDescent="0.15">
      <c r="A927" s="7"/>
      <c r="B927" s="7"/>
      <c r="C927" s="7"/>
      <c r="D927" s="8"/>
      <c r="E927" s="8"/>
      <c r="F927" s="8"/>
      <c r="G927" s="8"/>
      <c r="H927" s="7"/>
      <c r="I927" s="8"/>
      <c r="J927" s="8"/>
    </row>
    <row r="928" spans="1:11" ht="15.75" customHeight="1" x14ac:dyDescent="0.15">
      <c r="A928" s="7"/>
      <c r="B928" s="7"/>
      <c r="C928" s="7"/>
      <c r="D928" s="8"/>
      <c r="E928" s="8"/>
      <c r="F928" s="8"/>
      <c r="G928" s="8"/>
      <c r="H928" s="7"/>
      <c r="I928" s="8"/>
      <c r="J928" s="8"/>
    </row>
    <row r="929" spans="1:10" ht="15.75" customHeight="1" x14ac:dyDescent="0.15">
      <c r="A929" s="7"/>
      <c r="B929" s="7"/>
      <c r="C929" s="7"/>
      <c r="D929" s="8"/>
      <c r="E929" s="8"/>
      <c r="F929" s="8"/>
      <c r="G929" s="8"/>
      <c r="H929" s="7"/>
      <c r="I929" s="8"/>
      <c r="J929" s="8"/>
    </row>
    <row r="930" spans="1:10" ht="15.75" customHeight="1" x14ac:dyDescent="0.15">
      <c r="A930" s="7"/>
      <c r="B930" s="7"/>
      <c r="C930" s="7"/>
      <c r="D930" s="8"/>
      <c r="E930" s="8"/>
      <c r="F930" s="8"/>
      <c r="G930" s="8"/>
      <c r="H930" s="7"/>
      <c r="I930" s="8"/>
      <c r="J930" s="8"/>
    </row>
    <row r="931" spans="1:10" ht="15.75" customHeight="1" x14ac:dyDescent="0.15">
      <c r="A931" s="7"/>
      <c r="B931" s="7"/>
      <c r="C931" s="7"/>
      <c r="D931" s="8"/>
      <c r="E931" s="8"/>
      <c r="F931" s="8"/>
      <c r="G931" s="8"/>
      <c r="H931" s="7"/>
      <c r="I931" s="8"/>
      <c r="J931" s="8"/>
    </row>
    <row r="932" spans="1:10" ht="15.75" customHeight="1" x14ac:dyDescent="0.15">
      <c r="A932" s="7"/>
      <c r="B932" s="7"/>
      <c r="C932" s="7"/>
      <c r="D932" s="8"/>
      <c r="E932" s="8"/>
      <c r="F932" s="8"/>
      <c r="G932" s="8"/>
      <c r="H932" s="7"/>
      <c r="I932" s="8"/>
      <c r="J932" s="8"/>
    </row>
    <row r="933" spans="1:10" ht="15.75" customHeight="1" x14ac:dyDescent="0.15">
      <c r="A933" s="7"/>
      <c r="B933" s="7"/>
      <c r="C933" s="7"/>
      <c r="D933" s="8"/>
      <c r="E933" s="8"/>
      <c r="F933" s="8"/>
      <c r="G933" s="8"/>
      <c r="H933" s="7"/>
      <c r="I933" s="8"/>
      <c r="J933" s="8"/>
    </row>
    <row r="934" spans="1:10" ht="15.75" customHeight="1" x14ac:dyDescent="0.15">
      <c r="A934" s="7"/>
      <c r="B934" s="7"/>
      <c r="C934" s="7"/>
      <c r="D934" s="8"/>
      <c r="E934" s="8"/>
      <c r="F934" s="8"/>
      <c r="G934" s="8"/>
      <c r="H934" s="7"/>
      <c r="I934" s="8"/>
      <c r="J934" s="8"/>
    </row>
    <row r="935" spans="1:10" ht="15.75" customHeight="1" x14ac:dyDescent="0.15">
      <c r="A935" s="7"/>
      <c r="B935" s="7"/>
      <c r="C935" s="7"/>
      <c r="D935" s="8"/>
      <c r="E935" s="8"/>
      <c r="F935" s="8"/>
      <c r="G935" s="8"/>
      <c r="H935" s="7"/>
      <c r="I935" s="8"/>
      <c r="J935" s="8"/>
    </row>
    <row r="936" spans="1:10" ht="15.75" customHeight="1" x14ac:dyDescent="0.15">
      <c r="A936" s="7"/>
      <c r="B936" s="7"/>
      <c r="C936" s="7"/>
      <c r="D936" s="8"/>
      <c r="E936" s="8"/>
      <c r="F936" s="8"/>
      <c r="G936" s="8"/>
      <c r="H936" s="7"/>
      <c r="I936" s="8"/>
      <c r="J936" s="8"/>
    </row>
    <row r="937" spans="1:10" ht="15.75" customHeight="1" x14ac:dyDescent="0.15">
      <c r="A937" s="7"/>
      <c r="B937" s="7"/>
      <c r="C937" s="7"/>
      <c r="D937" s="8"/>
      <c r="E937" s="8"/>
      <c r="F937" s="8"/>
      <c r="G937" s="8"/>
      <c r="H937" s="7"/>
      <c r="I937" s="8"/>
      <c r="J937" s="8"/>
    </row>
    <row r="938" spans="1:10" ht="15.75" customHeight="1" x14ac:dyDescent="0.15">
      <c r="A938" s="7"/>
      <c r="B938" s="7"/>
      <c r="C938" s="7"/>
      <c r="D938" s="8"/>
      <c r="E938" s="8"/>
      <c r="F938" s="8"/>
      <c r="G938" s="8"/>
      <c r="H938" s="7"/>
      <c r="I938" s="8"/>
      <c r="J938" s="8"/>
    </row>
    <row r="939" spans="1:10" ht="15.75" customHeight="1" x14ac:dyDescent="0.15">
      <c r="A939" s="7"/>
      <c r="B939" s="7"/>
      <c r="C939" s="7"/>
      <c r="D939" s="8"/>
      <c r="E939" s="8"/>
      <c r="F939" s="8"/>
      <c r="G939" s="8"/>
      <c r="H939" s="7"/>
      <c r="I939" s="8"/>
      <c r="J939" s="8"/>
    </row>
    <row r="940" spans="1:10" ht="15.75" customHeight="1" x14ac:dyDescent="0.15">
      <c r="A940" s="7"/>
      <c r="B940" s="7"/>
      <c r="C940" s="7"/>
      <c r="D940" s="8"/>
      <c r="E940" s="8"/>
      <c r="F940" s="8"/>
      <c r="G940" s="8"/>
      <c r="H940" s="7"/>
      <c r="I940" s="8"/>
    </row>
    <row r="941" spans="1:10" ht="15.75" customHeight="1" x14ac:dyDescent="0.15">
      <c r="A941" s="7"/>
      <c r="B941" s="7"/>
      <c r="C941" s="7"/>
      <c r="D941" s="8"/>
      <c r="E941" s="8"/>
      <c r="F941" s="8"/>
      <c r="G941" s="8"/>
      <c r="H941" s="7"/>
      <c r="I941" s="8"/>
    </row>
    <row r="942" spans="1:10" ht="15.75" customHeight="1" x14ac:dyDescent="0.15">
      <c r="A942" s="7"/>
      <c r="B942" s="7"/>
      <c r="C942" s="7"/>
      <c r="D942" s="8"/>
      <c r="E942" s="8"/>
      <c r="F942" s="8"/>
      <c r="G942" s="8"/>
      <c r="H942" s="7"/>
      <c r="I942" s="8"/>
    </row>
    <row r="943" spans="1:10" ht="15.75" customHeight="1" x14ac:dyDescent="0.15">
      <c r="A943" s="7"/>
      <c r="B943" s="7"/>
      <c r="C943" s="7"/>
      <c r="D943" s="8"/>
      <c r="E943" s="8"/>
      <c r="F943" s="8"/>
      <c r="G943" s="8"/>
      <c r="H943" s="7"/>
      <c r="I943" s="8"/>
    </row>
    <row r="944" spans="1:10" ht="15.75" customHeight="1" x14ac:dyDescent="0.15">
      <c r="A944" s="7"/>
      <c r="B944" s="7"/>
      <c r="C944" s="7"/>
      <c r="D944" s="8"/>
      <c r="E944" s="8"/>
      <c r="F944" s="8"/>
      <c r="G944" s="8"/>
      <c r="H944" s="7"/>
      <c r="I944" s="8"/>
    </row>
    <row r="945" spans="1:9" ht="15.75" customHeight="1" x14ac:dyDescent="0.15">
      <c r="A945" s="7"/>
      <c r="B945" s="7"/>
      <c r="C945" s="7"/>
      <c r="D945" s="8"/>
      <c r="E945" s="8"/>
      <c r="F945" s="8"/>
      <c r="G945" s="8"/>
      <c r="H945" s="7"/>
      <c r="I945" s="8"/>
    </row>
    <row r="946" spans="1:9" ht="15.75" customHeight="1" x14ac:dyDescent="0.15">
      <c r="A946" s="7"/>
      <c r="B946" s="7"/>
      <c r="C946" s="7"/>
      <c r="D946" s="8"/>
      <c r="E946" s="8"/>
      <c r="F946" s="8"/>
      <c r="G946" s="8"/>
      <c r="H946" s="7"/>
      <c r="I946" s="8"/>
    </row>
    <row r="947" spans="1:9" ht="15.75" customHeight="1" x14ac:dyDescent="0.15">
      <c r="A947" s="7"/>
      <c r="B947" s="7"/>
      <c r="C947" s="7"/>
      <c r="D947" s="8"/>
      <c r="E947" s="8"/>
      <c r="F947" s="8"/>
      <c r="G947" s="8"/>
      <c r="H947" s="7"/>
      <c r="I947" s="8"/>
    </row>
    <row r="948" spans="1:9" ht="15.75" customHeight="1" x14ac:dyDescent="0.15">
      <c r="A948" s="7"/>
      <c r="B948" s="7"/>
      <c r="C948" s="7"/>
      <c r="D948" s="8"/>
      <c r="E948" s="8"/>
      <c r="F948" s="8"/>
      <c r="G948" s="8"/>
      <c r="H948" s="7"/>
      <c r="I948" s="8"/>
    </row>
    <row r="949" spans="1:9" ht="15.75" customHeight="1" x14ac:dyDescent="0.15">
      <c r="A949" s="7"/>
      <c r="B949" s="7"/>
      <c r="C949" s="7"/>
      <c r="D949" s="8"/>
      <c r="E949" s="8"/>
      <c r="F949" s="8"/>
      <c r="G949" s="8"/>
      <c r="H949" s="7"/>
      <c r="I949" s="8"/>
    </row>
    <row r="950" spans="1:9" ht="15.75" customHeight="1" x14ac:dyDescent="0.15">
      <c r="A950" s="7"/>
      <c r="B950" s="7"/>
      <c r="C950" s="7"/>
      <c r="D950" s="8"/>
      <c r="E950" s="8"/>
      <c r="F950" s="8"/>
      <c r="G950" s="8"/>
      <c r="H950" s="7"/>
      <c r="I950" s="8"/>
    </row>
    <row r="951" spans="1:9" ht="15.75" customHeight="1" x14ac:dyDescent="0.15">
      <c r="A951" s="7"/>
      <c r="B951" s="7"/>
      <c r="C951" s="7"/>
      <c r="D951" s="8"/>
      <c r="E951" s="8"/>
      <c r="F951" s="8"/>
      <c r="G951" s="8"/>
      <c r="H951" s="7"/>
      <c r="I951" s="8"/>
    </row>
    <row r="952" spans="1:9" ht="15.75" customHeight="1" x14ac:dyDescent="0.15">
      <c r="A952" s="7"/>
      <c r="B952" s="7"/>
      <c r="C952" s="7"/>
      <c r="D952" s="8"/>
      <c r="E952" s="8"/>
      <c r="F952" s="8"/>
      <c r="G952" s="8"/>
      <c r="H952" s="7"/>
      <c r="I952" s="8"/>
    </row>
    <row r="953" spans="1:9" ht="15.75" customHeight="1" x14ac:dyDescent="0.15">
      <c r="A953" s="7"/>
      <c r="B953" s="7"/>
      <c r="C953" s="7"/>
      <c r="D953" s="8"/>
      <c r="E953" s="8"/>
      <c r="F953" s="8"/>
      <c r="G953" s="8"/>
      <c r="H953" s="7"/>
      <c r="I953" s="8"/>
    </row>
    <row r="954" spans="1:9" ht="15.75" customHeight="1" x14ac:dyDescent="0.15">
      <c r="A954" s="7"/>
      <c r="B954" s="7"/>
      <c r="C954" s="7"/>
      <c r="D954" s="8"/>
      <c r="E954" s="8"/>
      <c r="F954" s="8"/>
      <c r="G954" s="8"/>
      <c r="H954" s="7"/>
      <c r="I954" s="8"/>
    </row>
    <row r="955" spans="1:9" ht="15.75" customHeight="1" x14ac:dyDescent="0.15">
      <c r="A955" s="7"/>
      <c r="B955" s="7"/>
      <c r="C955" s="7"/>
      <c r="D955" s="8"/>
      <c r="E955" s="8"/>
      <c r="F955" s="8"/>
      <c r="G955" s="8"/>
      <c r="H955" s="7"/>
      <c r="I955" s="8"/>
    </row>
    <row r="956" spans="1:9" ht="15.75" customHeight="1" x14ac:dyDescent="0.15">
      <c r="A956" s="7"/>
      <c r="B956" s="7"/>
      <c r="C956" s="7"/>
      <c r="D956" s="8"/>
      <c r="E956" s="8"/>
      <c r="F956" s="8"/>
      <c r="G956" s="8"/>
      <c r="H956" s="7"/>
      <c r="I956" s="8"/>
    </row>
    <row r="957" spans="1:9" ht="15.75" customHeight="1" x14ac:dyDescent="0.15">
      <c r="A957" s="7"/>
      <c r="B957" s="7"/>
      <c r="C957" s="7"/>
      <c r="D957" s="8"/>
      <c r="E957" s="8"/>
      <c r="F957" s="8"/>
      <c r="G957" s="8"/>
      <c r="H957" s="7"/>
      <c r="I957" s="8"/>
    </row>
    <row r="958" spans="1:9" ht="15.75" customHeight="1" x14ac:dyDescent="0.15">
      <c r="A958" s="7"/>
      <c r="B958" s="7"/>
      <c r="C958" s="7"/>
      <c r="D958" s="8"/>
      <c r="E958" s="8"/>
      <c r="F958" s="8"/>
      <c r="G958" s="8"/>
      <c r="H958" s="7"/>
      <c r="I958" s="8"/>
    </row>
    <row r="959" spans="1:9" ht="15.75" customHeight="1" x14ac:dyDescent="0.15">
      <c r="A959" s="7"/>
      <c r="B959" s="7"/>
      <c r="C959" s="7"/>
      <c r="D959" s="8"/>
      <c r="E959" s="8"/>
      <c r="F959" s="8"/>
      <c r="G959" s="8"/>
      <c r="H959" s="7"/>
      <c r="I959" s="8"/>
    </row>
    <row r="960" spans="1:9" ht="15.75" customHeight="1" x14ac:dyDescent="0.15">
      <c r="A960" s="7"/>
      <c r="B960" s="7"/>
      <c r="C960" s="7"/>
      <c r="D960" s="8"/>
      <c r="E960" s="8"/>
      <c r="F960" s="8"/>
      <c r="G960" s="8"/>
      <c r="H960" s="7"/>
      <c r="I960" s="8"/>
    </row>
    <row r="961" spans="1:9" ht="15.75" customHeight="1" x14ac:dyDescent="0.15">
      <c r="A961" s="7"/>
      <c r="B961" s="7"/>
      <c r="C961" s="7"/>
      <c r="D961" s="8"/>
      <c r="E961" s="8"/>
      <c r="F961" s="8"/>
      <c r="G961" s="8"/>
      <c r="H961" s="7"/>
      <c r="I961" s="8"/>
    </row>
    <row r="962" spans="1:9" ht="15.75" customHeight="1" x14ac:dyDescent="0.15">
      <c r="A962" s="7"/>
      <c r="B962" s="7"/>
      <c r="C962" s="7"/>
      <c r="D962" s="8"/>
      <c r="E962" s="8"/>
      <c r="F962" s="8"/>
      <c r="G962" s="8"/>
      <c r="H962" s="7"/>
      <c r="I962" s="8"/>
    </row>
    <row r="963" spans="1:9" ht="15.75" customHeight="1" x14ac:dyDescent="0.15">
      <c r="A963" s="7"/>
      <c r="B963" s="7"/>
      <c r="C963" s="7"/>
      <c r="D963" s="8"/>
      <c r="E963" s="8"/>
      <c r="F963" s="8"/>
      <c r="G963" s="8"/>
      <c r="H963" s="7"/>
      <c r="I963" s="8"/>
    </row>
    <row r="964" spans="1:9" ht="15.75" customHeight="1" x14ac:dyDescent="0.15">
      <c r="A964" s="7"/>
      <c r="B964" s="7"/>
      <c r="C964" s="7"/>
      <c r="D964" s="8"/>
      <c r="E964" s="8"/>
      <c r="F964" s="8"/>
      <c r="G964" s="8"/>
      <c r="H964" s="7"/>
      <c r="I964" s="8"/>
    </row>
    <row r="965" spans="1:9" ht="15.75" customHeight="1" x14ac:dyDescent="0.15">
      <c r="A965" s="7"/>
      <c r="B965" s="7"/>
      <c r="C965" s="7"/>
      <c r="D965" s="8"/>
      <c r="E965" s="8"/>
      <c r="F965" s="8"/>
      <c r="G965" s="8"/>
      <c r="H965" s="7"/>
      <c r="I965" s="8"/>
    </row>
    <row r="966" spans="1:9" ht="15.75" customHeight="1" x14ac:dyDescent="0.15">
      <c r="A966" s="7"/>
      <c r="B966" s="7"/>
      <c r="C966" s="7"/>
      <c r="D966" s="8"/>
      <c r="E966" s="8"/>
      <c r="F966" s="8"/>
      <c r="G966" s="8"/>
      <c r="H966" s="7"/>
      <c r="I966" s="8"/>
    </row>
    <row r="967" spans="1:9" ht="15.75" customHeight="1" x14ac:dyDescent="0.15">
      <c r="A967" s="7"/>
      <c r="B967" s="7"/>
      <c r="C967" s="7"/>
      <c r="D967" s="8"/>
      <c r="E967" s="8"/>
      <c r="F967" s="8"/>
      <c r="G967" s="8"/>
      <c r="H967" s="7"/>
      <c r="I967" s="8"/>
    </row>
    <row r="968" spans="1:9" ht="15.75" customHeight="1" x14ac:dyDescent="0.15">
      <c r="A968" s="7"/>
      <c r="B968" s="7"/>
      <c r="C968" s="7"/>
      <c r="D968" s="8"/>
      <c r="E968" s="8"/>
      <c r="F968" s="8"/>
      <c r="G968" s="8"/>
      <c r="H968" s="7"/>
      <c r="I968" s="8"/>
    </row>
    <row r="969" spans="1:9" ht="15.75" customHeight="1" x14ac:dyDescent="0.15">
      <c r="A969" s="7"/>
      <c r="B969" s="7"/>
      <c r="C969" s="7"/>
      <c r="D969" s="8"/>
      <c r="E969" s="8"/>
      <c r="F969" s="8"/>
      <c r="G969" s="8"/>
      <c r="H969" s="7"/>
      <c r="I969" s="8"/>
    </row>
    <row r="970" spans="1:9" ht="15.75" customHeight="1" x14ac:dyDescent="0.15">
      <c r="A970" s="7"/>
      <c r="B970" s="7"/>
      <c r="C970" s="7"/>
      <c r="D970" s="8"/>
      <c r="E970" s="8"/>
      <c r="F970" s="8"/>
      <c r="G970" s="8"/>
      <c r="H970" s="7"/>
      <c r="I970" s="8"/>
    </row>
    <row r="971" spans="1:9" ht="15.75" customHeight="1" x14ac:dyDescent="0.15">
      <c r="A971" s="7"/>
      <c r="B971" s="7"/>
      <c r="C971" s="7"/>
      <c r="D971" s="8"/>
      <c r="E971" s="8"/>
      <c r="F971" s="8"/>
      <c r="G971" s="8"/>
      <c r="H971" s="7"/>
      <c r="I971" s="8"/>
    </row>
    <row r="972" spans="1:9" ht="15.75" customHeight="1" x14ac:dyDescent="0.15">
      <c r="A972" s="7"/>
      <c r="B972" s="7"/>
      <c r="C972" s="7"/>
      <c r="D972" s="8"/>
      <c r="E972" s="8"/>
      <c r="F972" s="8"/>
      <c r="G972" s="8"/>
      <c r="H972" s="7"/>
      <c r="I972" s="8"/>
    </row>
    <row r="973" spans="1:9" ht="15.75" customHeight="1" x14ac:dyDescent="0.15">
      <c r="A973" s="7"/>
      <c r="B973" s="7"/>
      <c r="C973" s="7"/>
      <c r="D973" s="8"/>
      <c r="E973" s="8"/>
      <c r="F973" s="8"/>
      <c r="G973" s="8"/>
      <c r="H973" s="7"/>
      <c r="I973" s="8"/>
    </row>
    <row r="974" spans="1:9" ht="15.75" customHeight="1" x14ac:dyDescent="0.15">
      <c r="A974" s="7"/>
      <c r="B974" s="7"/>
      <c r="C974" s="7"/>
      <c r="D974" s="8"/>
      <c r="E974" s="8"/>
      <c r="F974" s="8"/>
      <c r="G974" s="8"/>
      <c r="H974" s="7"/>
      <c r="I974" s="8"/>
    </row>
    <row r="975" spans="1:9" ht="15.75" customHeight="1" x14ac:dyDescent="0.15">
      <c r="A975" s="7"/>
      <c r="B975" s="7"/>
      <c r="C975" s="7"/>
      <c r="D975" s="8"/>
      <c r="E975" s="8"/>
      <c r="F975" s="8"/>
      <c r="G975" s="8"/>
      <c r="H975" s="7"/>
      <c r="I975" s="8"/>
    </row>
    <row r="976" spans="1:9" ht="15.75" customHeight="1" x14ac:dyDescent="0.15">
      <c r="A976" s="7"/>
      <c r="B976" s="7"/>
      <c r="C976" s="7"/>
      <c r="D976" s="8"/>
      <c r="E976" s="8"/>
      <c r="F976" s="8"/>
      <c r="G976" s="8"/>
      <c r="H976" s="7"/>
      <c r="I976" s="8"/>
    </row>
    <row r="977" spans="1:9" ht="15.75" customHeight="1" x14ac:dyDescent="0.15">
      <c r="A977" s="7"/>
      <c r="B977" s="7"/>
      <c r="C977" s="7"/>
      <c r="D977" s="8"/>
      <c r="E977" s="8"/>
      <c r="F977" s="8"/>
      <c r="G977" s="8"/>
      <c r="H977" s="7"/>
      <c r="I977" s="8"/>
    </row>
    <row r="978" spans="1:9" ht="15.75" customHeight="1" x14ac:dyDescent="0.15">
      <c r="A978" s="7"/>
      <c r="B978" s="7"/>
      <c r="C978" s="7"/>
      <c r="D978" s="8"/>
      <c r="E978" s="8"/>
      <c r="F978" s="8"/>
      <c r="G978" s="8"/>
      <c r="H978" s="7"/>
      <c r="I978" s="8"/>
    </row>
    <row r="979" spans="1:9" ht="15.75" customHeight="1" x14ac:dyDescent="0.15">
      <c r="A979" s="7"/>
      <c r="B979" s="7"/>
      <c r="C979" s="7"/>
      <c r="D979" s="8"/>
      <c r="E979" s="8"/>
      <c r="F979" s="8"/>
      <c r="G979" s="8"/>
      <c r="H979" s="7"/>
      <c r="I979" s="8"/>
    </row>
    <row r="980" spans="1:9" ht="15.75" customHeight="1" x14ac:dyDescent="0.15">
      <c r="A980" s="7"/>
      <c r="B980" s="7"/>
      <c r="C980" s="7"/>
      <c r="D980" s="8"/>
      <c r="E980" s="8"/>
      <c r="F980" s="8"/>
      <c r="G980" s="8"/>
      <c r="H980" s="7"/>
      <c r="I980" s="8"/>
    </row>
    <row r="981" spans="1:9" ht="15.75" customHeight="1" x14ac:dyDescent="0.15">
      <c r="A981" s="7"/>
      <c r="B981" s="7"/>
      <c r="C981" s="7"/>
      <c r="D981" s="8"/>
      <c r="E981" s="8"/>
      <c r="F981" s="8"/>
      <c r="G981" s="8"/>
      <c r="H981" s="7"/>
      <c r="I981" s="8"/>
    </row>
    <row r="982" spans="1:9" ht="15.75" customHeight="1" x14ac:dyDescent="0.15">
      <c r="A982" s="7"/>
      <c r="B982" s="7"/>
      <c r="C982" s="7"/>
      <c r="D982" s="8"/>
      <c r="E982" s="8"/>
      <c r="F982" s="8"/>
      <c r="G982" s="8"/>
      <c r="H982" s="7"/>
      <c r="I982" s="8"/>
    </row>
    <row r="983" spans="1:9" ht="15.75" customHeight="1" x14ac:dyDescent="0.15">
      <c r="A983" s="7"/>
      <c r="B983" s="7"/>
      <c r="C983" s="7"/>
      <c r="D983" s="8"/>
      <c r="E983" s="8"/>
      <c r="F983" s="8"/>
      <c r="G983" s="8"/>
      <c r="H983" s="7"/>
      <c r="I983" s="8"/>
    </row>
    <row r="984" spans="1:9" ht="15.75" customHeight="1" x14ac:dyDescent="0.15">
      <c r="A984" s="7"/>
      <c r="B984" s="7"/>
      <c r="C984" s="7"/>
      <c r="D984" s="8"/>
      <c r="E984" s="8"/>
      <c r="F984" s="8"/>
      <c r="G984" s="8"/>
      <c r="H984" s="7"/>
      <c r="I984" s="8"/>
    </row>
    <row r="985" spans="1:9" ht="15.75" customHeight="1" x14ac:dyDescent="0.15">
      <c r="A985" s="7"/>
      <c r="B985" s="7"/>
      <c r="C985" s="7"/>
      <c r="D985" s="8"/>
      <c r="E985" s="8"/>
      <c r="F985" s="8"/>
      <c r="G985" s="8"/>
      <c r="H985" s="7"/>
      <c r="I985" s="8"/>
    </row>
    <row r="986" spans="1:9" ht="15.75" customHeight="1" x14ac:dyDescent="0.15">
      <c r="A986" s="7"/>
      <c r="B986" s="7"/>
      <c r="C986" s="7"/>
      <c r="D986" s="8"/>
      <c r="E986" s="8"/>
      <c r="F986" s="8"/>
      <c r="G986" s="8"/>
      <c r="H986" s="7"/>
      <c r="I986" s="8"/>
    </row>
    <row r="987" spans="1:9" ht="15.75" customHeight="1" x14ac:dyDescent="0.15">
      <c r="A987" s="7"/>
      <c r="B987" s="7"/>
      <c r="C987" s="7"/>
      <c r="D987" s="8"/>
      <c r="E987" s="8"/>
      <c r="F987" s="8"/>
      <c r="G987" s="8"/>
      <c r="H987" s="7"/>
      <c r="I987" s="8"/>
    </row>
  </sheetData>
  <mergeCells count="6">
    <mergeCell ref="M29:T30"/>
    <mergeCell ref="L15:M16"/>
    <mergeCell ref="M18:T18"/>
    <mergeCell ref="L19:L23"/>
    <mergeCell ref="L24:L26"/>
    <mergeCell ref="M27:T28"/>
  </mergeCells>
  <phoneticPr fontId="5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7838-2B76-4542-BFF7-735255284BA3}">
  <sheetPr>
    <outlinePr summaryBelow="0" summaryRight="0"/>
  </sheetPr>
  <dimension ref="A1:AE987"/>
  <sheetViews>
    <sheetView topLeftCell="A49" zoomScaleNormal="100" workbookViewId="0">
      <selection activeCell="F37" sqref="F37"/>
    </sheetView>
  </sheetViews>
  <sheetFormatPr defaultColWidth="12.54296875" defaultRowHeight="15.75" customHeight="1" x14ac:dyDescent="0.15"/>
  <cols>
    <col min="1" max="1" width="12.7265625" style="9" bestFit="1" customWidth="1"/>
    <col min="2" max="2" width="13.453125" style="9" bestFit="1" customWidth="1"/>
    <col min="3" max="3" width="12.54296875" style="9"/>
    <col min="4" max="4" width="11" style="9" customWidth="1"/>
    <col min="5" max="5" width="30.1796875" style="9" bestFit="1" customWidth="1"/>
    <col min="6" max="6" width="57.26953125" style="9" bestFit="1" customWidth="1"/>
    <col min="7" max="7" width="13.54296875" style="9" customWidth="1"/>
    <col min="8" max="8" width="12.7265625" style="12" bestFit="1" customWidth="1"/>
    <col min="9" max="9" width="17.1796875" style="9" bestFit="1" customWidth="1"/>
    <col min="10" max="16384" width="12.54296875" style="9"/>
  </cols>
  <sheetData>
    <row r="1" spans="1:31" ht="11.5" x14ac:dyDescent="0.15">
      <c r="A1" s="6" t="s">
        <v>146</v>
      </c>
      <c r="B1" s="7"/>
      <c r="C1" s="6" t="s">
        <v>145</v>
      </c>
      <c r="D1" s="8"/>
      <c r="E1" s="8"/>
      <c r="F1" s="8"/>
      <c r="G1" s="8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ht="11.5" x14ac:dyDescent="0.15">
      <c r="A2" s="7"/>
      <c r="B2" s="7"/>
      <c r="C2" s="7"/>
      <c r="D2" s="8"/>
      <c r="E2" s="8"/>
      <c r="F2" s="8"/>
      <c r="G2" s="8"/>
      <c r="H2" s="6" t="s">
        <v>144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 t="s">
        <v>382</v>
      </c>
      <c r="Y2" s="8" t="s">
        <v>389</v>
      </c>
      <c r="Z2" s="8"/>
      <c r="AA2" s="8"/>
      <c r="AB2" s="8"/>
      <c r="AC2" s="8"/>
      <c r="AD2" s="8"/>
      <c r="AE2" s="8"/>
    </row>
    <row r="3" spans="1:31" ht="11.5" x14ac:dyDescent="0.15">
      <c r="A3" s="6" t="s">
        <v>143</v>
      </c>
      <c r="B3" s="7"/>
      <c r="C3" s="7"/>
      <c r="D3" s="8"/>
      <c r="E3" s="8"/>
      <c r="F3" s="8"/>
      <c r="G3" s="8"/>
      <c r="H3" s="6" t="s"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>
        <f>M8+N8+O8+P8+T8+U8+V8+W8</f>
        <v>980</v>
      </c>
      <c r="Y3" s="8">
        <f>X3+S8</f>
        <v>1080</v>
      </c>
      <c r="Z3" s="8"/>
      <c r="AA3" s="8"/>
      <c r="AB3" s="8"/>
      <c r="AC3" s="8"/>
      <c r="AD3" s="8"/>
      <c r="AE3" s="8"/>
    </row>
    <row r="4" spans="1:31" ht="11.5" x14ac:dyDescent="0.15">
      <c r="A4" s="6" t="s">
        <v>1</v>
      </c>
      <c r="B4" s="6" t="s">
        <v>2</v>
      </c>
      <c r="C4" s="6" t="s">
        <v>3</v>
      </c>
      <c r="D4" s="8" t="s">
        <v>4</v>
      </c>
      <c r="E4" s="8" t="s">
        <v>5</v>
      </c>
      <c r="F4" s="8" t="s">
        <v>6</v>
      </c>
      <c r="G4" s="8" t="s">
        <v>141</v>
      </c>
      <c r="H4" s="6" t="s">
        <v>7</v>
      </c>
      <c r="I4" s="8" t="s">
        <v>8</v>
      </c>
      <c r="J4" s="8" t="s">
        <v>196</v>
      </c>
      <c r="K4" s="8"/>
      <c r="M4" s="9">
        <f>M8+O8+P8+T8</f>
        <v>920</v>
      </c>
      <c r="Q4" s="9" t="s">
        <v>375</v>
      </c>
      <c r="S4" s="9" t="s">
        <v>376</v>
      </c>
      <c r="T4" s="8"/>
      <c r="U4" s="8"/>
      <c r="V4" s="8" t="s">
        <v>377</v>
      </c>
      <c r="W4" s="8" t="s">
        <v>378</v>
      </c>
      <c r="X4" s="8"/>
      <c r="Y4" s="8"/>
      <c r="Z4" s="8"/>
      <c r="AA4" s="8"/>
      <c r="AB4" s="8"/>
      <c r="AC4" s="8"/>
      <c r="AD4" s="8"/>
      <c r="AE4" s="8"/>
    </row>
    <row r="5" spans="1:31" ht="11.5" x14ac:dyDescent="0.15">
      <c r="A5" s="7">
        <v>0</v>
      </c>
      <c r="B5" s="7">
        <f t="shared" ref="B5:B233" si="0">DEC2BIN(A5/512)*1000000000+DEC2BIN(MOD(A5,512))</f>
        <v>0</v>
      </c>
      <c r="C5" s="7" t="str">
        <f t="shared" ref="C5:C233" si="1">DEC2HEX(A5)</f>
        <v>0</v>
      </c>
      <c r="D5" s="8" t="str">
        <f t="shared" ref="D5:D233" si="2">IF(A5=0,"-", IF(A5&lt;1024,"文字列",IF(A5&lt;1280,"uint32_t",IF(A5&lt;1536,"uint16_t",IF(A5&lt;1792,"float","fp16")))))</f>
        <v>-</v>
      </c>
      <c r="E5" s="8"/>
      <c r="F5" s="8" t="s">
        <v>17</v>
      </c>
      <c r="G5" s="8"/>
      <c r="H5" s="7"/>
      <c r="I5" s="8"/>
      <c r="J5" s="8"/>
      <c r="K5" s="8"/>
      <c r="T5" s="8"/>
      <c r="U5" s="8"/>
      <c r="X5" s="8"/>
      <c r="Z5" s="8"/>
      <c r="AA5" s="8"/>
      <c r="AB5" s="8"/>
      <c r="AC5" s="8"/>
      <c r="AD5" s="8"/>
      <c r="AE5" s="8"/>
    </row>
    <row r="6" spans="1:31" ht="11.5" x14ac:dyDescent="0.15">
      <c r="A6" s="7">
        <v>1</v>
      </c>
      <c r="B6" s="7">
        <f t="shared" si="0"/>
        <v>1</v>
      </c>
      <c r="C6" s="7" t="str">
        <f t="shared" si="1"/>
        <v>1</v>
      </c>
      <c r="D6" s="8" t="str">
        <f t="shared" si="2"/>
        <v>文字列</v>
      </c>
      <c r="E6" s="8"/>
      <c r="F6" s="8"/>
      <c r="G6" s="8"/>
      <c r="H6" s="7"/>
      <c r="I6" s="8"/>
      <c r="J6" s="8"/>
      <c r="K6" s="8"/>
      <c r="L6" s="9" t="s">
        <v>335</v>
      </c>
      <c r="M6" s="9" t="s">
        <v>379</v>
      </c>
      <c r="O6" s="9" t="s">
        <v>379</v>
      </c>
      <c r="P6" s="9" t="s">
        <v>379</v>
      </c>
      <c r="Q6" s="9" t="s">
        <v>379</v>
      </c>
      <c r="T6" s="8" t="s">
        <v>379</v>
      </c>
      <c r="U6" s="8"/>
      <c r="V6" s="9" t="s">
        <v>379</v>
      </c>
      <c r="W6" s="9" t="s">
        <v>380</v>
      </c>
      <c r="X6" s="8"/>
      <c r="AB6" s="8"/>
      <c r="AC6" s="8"/>
      <c r="AD6" s="8"/>
      <c r="AE6" s="8"/>
    </row>
    <row r="7" spans="1:31" ht="11.5" x14ac:dyDescent="0.15">
      <c r="A7" s="7">
        <v>2</v>
      </c>
      <c r="B7" s="7">
        <f t="shared" si="0"/>
        <v>10</v>
      </c>
      <c r="C7" s="7" t="str">
        <f t="shared" si="1"/>
        <v>2</v>
      </c>
      <c r="D7" s="8" t="str">
        <f t="shared" si="2"/>
        <v>文字列</v>
      </c>
      <c r="E7" s="8"/>
      <c r="F7" s="8"/>
      <c r="G7" s="8"/>
      <c r="H7" s="7"/>
      <c r="I7" s="8"/>
      <c r="J7" s="8"/>
      <c r="K7" s="8"/>
      <c r="L7" s="13" t="s">
        <v>9</v>
      </c>
      <c r="M7" s="13" t="s">
        <v>264</v>
      </c>
      <c r="N7" s="14" t="s">
        <v>275</v>
      </c>
      <c r="O7" s="13" t="s">
        <v>10</v>
      </c>
      <c r="P7" s="13" t="s">
        <v>347</v>
      </c>
      <c r="Q7" s="14" t="s">
        <v>265</v>
      </c>
      <c r="R7" s="14" t="s">
        <v>277</v>
      </c>
      <c r="S7" s="14" t="s">
        <v>271</v>
      </c>
      <c r="T7" s="13" t="s">
        <v>346</v>
      </c>
      <c r="U7" s="13" t="s">
        <v>274</v>
      </c>
      <c r="V7" s="13" t="s">
        <v>147</v>
      </c>
      <c r="W7" s="13" t="s">
        <v>291</v>
      </c>
      <c r="X7" s="13" t="s">
        <v>142</v>
      </c>
      <c r="Z7" s="8" t="s">
        <v>151</v>
      </c>
      <c r="AA7" s="8" t="s">
        <v>337</v>
      </c>
      <c r="AB7" s="8"/>
      <c r="AC7" s="8"/>
      <c r="AD7" s="8"/>
      <c r="AE7" s="8"/>
    </row>
    <row r="8" spans="1:31" ht="11.5" x14ac:dyDescent="0.15">
      <c r="A8" s="7">
        <v>3</v>
      </c>
      <c r="B8" s="7">
        <f t="shared" si="0"/>
        <v>11</v>
      </c>
      <c r="C8" s="7" t="str">
        <f t="shared" si="1"/>
        <v>3</v>
      </c>
      <c r="D8" s="8" t="str">
        <f t="shared" si="2"/>
        <v>文字列</v>
      </c>
      <c r="E8" s="8"/>
      <c r="F8" s="8"/>
      <c r="G8" s="8"/>
      <c r="H8" s="7"/>
      <c r="I8" s="8"/>
      <c r="J8" s="8"/>
      <c r="K8" s="8"/>
      <c r="L8" s="13" t="s">
        <v>336</v>
      </c>
      <c r="M8" s="13">
        <f t="shared" ref="M8:V8" si="3">SUMIF($I:$I,M7,$H:$H)</f>
        <v>50</v>
      </c>
      <c r="N8" s="13">
        <f t="shared" si="3"/>
        <v>0</v>
      </c>
      <c r="O8" s="13">
        <f t="shared" si="3"/>
        <v>430</v>
      </c>
      <c r="P8" s="13">
        <f t="shared" si="3"/>
        <v>110</v>
      </c>
      <c r="Q8" s="13">
        <f>SUMIF($I:$I,Q7,$H:$H)</f>
        <v>540</v>
      </c>
      <c r="R8" s="13">
        <f t="shared" si="3"/>
        <v>0</v>
      </c>
      <c r="S8" s="13">
        <f t="shared" si="3"/>
        <v>100</v>
      </c>
      <c r="T8" s="13">
        <f t="shared" si="3"/>
        <v>330</v>
      </c>
      <c r="U8" s="13">
        <f t="shared" si="3"/>
        <v>0</v>
      </c>
      <c r="V8" s="13">
        <f t="shared" si="3"/>
        <v>10</v>
      </c>
      <c r="W8" s="13">
        <f>SUMIF($I:$I,W7,$H:$H)-50</f>
        <v>50</v>
      </c>
      <c r="X8" s="13">
        <f>SUM(M8:W8)</f>
        <v>1620</v>
      </c>
      <c r="Z8" s="8" t="s">
        <v>153</v>
      </c>
      <c r="AA8" s="8" t="s">
        <v>289</v>
      </c>
      <c r="AB8" s="8"/>
      <c r="AC8" s="8"/>
      <c r="AD8" s="8"/>
      <c r="AE8" s="8"/>
    </row>
    <row r="9" spans="1:31" ht="11.5" x14ac:dyDescent="0.15">
      <c r="A9" s="7">
        <v>4</v>
      </c>
      <c r="B9" s="7">
        <f t="shared" si="0"/>
        <v>100</v>
      </c>
      <c r="C9" s="7" t="str">
        <f t="shared" si="1"/>
        <v>4</v>
      </c>
      <c r="D9" s="8" t="str">
        <f t="shared" si="2"/>
        <v>文字列</v>
      </c>
      <c r="E9" s="8"/>
      <c r="F9" s="8"/>
      <c r="G9" s="8"/>
      <c r="H9" s="7"/>
      <c r="I9" s="8"/>
      <c r="J9" s="8"/>
      <c r="K9" s="8"/>
      <c r="L9" s="8" t="s">
        <v>266</v>
      </c>
      <c r="M9" s="8"/>
      <c r="O9" s="8" t="s">
        <v>268</v>
      </c>
      <c r="P9" s="8" t="s">
        <v>269</v>
      </c>
      <c r="Q9" s="8" t="s">
        <v>270</v>
      </c>
      <c r="R9" s="8"/>
      <c r="S9" s="8" t="s">
        <v>272</v>
      </c>
      <c r="T9" s="8" t="s">
        <v>273</v>
      </c>
      <c r="U9" s="8"/>
      <c r="X9" s="8"/>
      <c r="Z9" s="8"/>
      <c r="AA9" s="8" t="s">
        <v>287</v>
      </c>
      <c r="AB9" s="8"/>
      <c r="AC9" s="8"/>
      <c r="AD9" s="8"/>
      <c r="AE9" s="8"/>
    </row>
    <row r="10" spans="1:31" ht="11.5" x14ac:dyDescent="0.15">
      <c r="A10" s="7">
        <v>5</v>
      </c>
      <c r="B10" s="7">
        <f t="shared" si="0"/>
        <v>101</v>
      </c>
      <c r="C10" s="7" t="str">
        <f t="shared" si="1"/>
        <v>5</v>
      </c>
      <c r="D10" s="8" t="str">
        <f t="shared" si="2"/>
        <v>文字列</v>
      </c>
      <c r="E10" s="8"/>
      <c r="F10" s="8"/>
      <c r="G10" s="8"/>
      <c r="H10" s="7"/>
      <c r="I10" s="8"/>
      <c r="J10" s="8"/>
      <c r="K10" s="8"/>
      <c r="L10" s="8" t="s">
        <v>267</v>
      </c>
      <c r="M10" s="8"/>
      <c r="N10" s="8" t="s">
        <v>268</v>
      </c>
      <c r="O10" s="8"/>
      <c r="P10" s="8" t="s">
        <v>269</v>
      </c>
      <c r="Q10" s="8"/>
      <c r="R10" s="8" t="s">
        <v>270</v>
      </c>
      <c r="S10" s="8" t="s">
        <v>272</v>
      </c>
      <c r="T10" s="8" t="s">
        <v>273</v>
      </c>
      <c r="U10" s="8"/>
      <c r="X10" s="8"/>
      <c r="Y10" s="8"/>
      <c r="Z10" s="8"/>
      <c r="AA10" s="8" t="s">
        <v>290</v>
      </c>
      <c r="AB10" s="8"/>
      <c r="AC10" s="8"/>
      <c r="AD10" s="8"/>
      <c r="AE10" s="8"/>
    </row>
    <row r="11" spans="1:31" ht="11.5" x14ac:dyDescent="0.15">
      <c r="A11" s="7">
        <v>6</v>
      </c>
      <c r="B11" s="7">
        <f t="shared" si="0"/>
        <v>110</v>
      </c>
      <c r="C11" s="7" t="str">
        <f t="shared" si="1"/>
        <v>6</v>
      </c>
      <c r="D11" s="8" t="str">
        <f t="shared" si="2"/>
        <v>文字列</v>
      </c>
      <c r="E11" s="8"/>
      <c r="F11" s="8"/>
      <c r="G11" s="8"/>
      <c r="H11" s="7"/>
      <c r="I11" s="8"/>
      <c r="J11" s="8"/>
      <c r="K11" s="8"/>
      <c r="L11" s="9" t="s">
        <v>279</v>
      </c>
      <c r="O11" s="8"/>
      <c r="P11" s="8"/>
      <c r="Q11" s="8" t="s">
        <v>270</v>
      </c>
      <c r="R11" s="8"/>
      <c r="S11" s="8"/>
      <c r="U11" s="8"/>
      <c r="V11" s="8"/>
      <c r="W11" s="8" t="s">
        <v>276</v>
      </c>
      <c r="X11" s="8"/>
      <c r="Y11" s="8"/>
      <c r="Z11" s="8"/>
      <c r="AA11" s="8"/>
      <c r="AB11" s="8"/>
      <c r="AC11" s="8"/>
      <c r="AD11" s="8"/>
      <c r="AE11" s="8"/>
    </row>
    <row r="12" spans="1:31" ht="11.5" x14ac:dyDescent="0.15">
      <c r="A12" s="7">
        <v>7</v>
      </c>
      <c r="B12" s="7">
        <f t="shared" si="0"/>
        <v>111</v>
      </c>
      <c r="C12" s="7" t="str">
        <f t="shared" si="1"/>
        <v>7</v>
      </c>
      <c r="D12" s="8" t="str">
        <f t="shared" si="2"/>
        <v>文字列</v>
      </c>
      <c r="E12" s="8"/>
      <c r="F12" s="8"/>
      <c r="G12" s="8"/>
      <c r="H12" s="7"/>
      <c r="I12" s="8"/>
      <c r="J12" s="8"/>
      <c r="K12" s="8"/>
      <c r="L12" s="9" t="s">
        <v>282</v>
      </c>
      <c r="O12" s="9" t="s">
        <v>370</v>
      </c>
      <c r="P12" s="9" t="s">
        <v>371</v>
      </c>
      <c r="Q12" s="9" t="s">
        <v>372</v>
      </c>
      <c r="S12" s="18" t="s">
        <v>373</v>
      </c>
      <c r="T12" s="9" t="s">
        <v>374</v>
      </c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11.5" x14ac:dyDescent="0.15">
      <c r="A13" s="7">
        <v>8</v>
      </c>
      <c r="B13" s="7">
        <f t="shared" si="0"/>
        <v>1000</v>
      </c>
      <c r="C13" s="7" t="str">
        <f t="shared" si="1"/>
        <v>8</v>
      </c>
      <c r="D13" s="8" t="str">
        <f t="shared" si="2"/>
        <v>文字列</v>
      </c>
      <c r="E13" s="8" t="s">
        <v>24</v>
      </c>
      <c r="F13" s="8" t="s">
        <v>25</v>
      </c>
      <c r="G13" s="8"/>
      <c r="H13" s="7" t="s">
        <v>26</v>
      </c>
      <c r="I13" s="8" t="s">
        <v>199</v>
      </c>
      <c r="K13" s="8"/>
      <c r="L13" s="9" t="s">
        <v>285</v>
      </c>
      <c r="O13" s="9" t="s">
        <v>366</v>
      </c>
      <c r="P13" s="9" t="s">
        <v>286</v>
      </c>
      <c r="R13" s="18" t="s">
        <v>367</v>
      </c>
      <c r="T13" s="9" t="s">
        <v>365</v>
      </c>
      <c r="V13" s="8"/>
      <c r="W13" s="18" t="s">
        <v>368</v>
      </c>
      <c r="X13" s="8"/>
      <c r="Y13" s="8"/>
      <c r="Z13" s="8"/>
      <c r="AA13" s="8"/>
      <c r="AB13" s="8"/>
      <c r="AC13" s="8"/>
      <c r="AD13" s="8"/>
      <c r="AE13" s="8"/>
    </row>
    <row r="14" spans="1:31" ht="11.5" x14ac:dyDescent="0.15">
      <c r="A14" s="7">
        <v>9</v>
      </c>
      <c r="B14" s="7">
        <f t="shared" si="0"/>
        <v>1001</v>
      </c>
      <c r="C14" s="7" t="str">
        <f t="shared" si="1"/>
        <v>9</v>
      </c>
      <c r="D14" s="8" t="str">
        <f t="shared" si="2"/>
        <v>文字列</v>
      </c>
      <c r="E14" s="8" t="s">
        <v>28</v>
      </c>
      <c r="F14" s="8" t="s">
        <v>29</v>
      </c>
      <c r="G14" s="8"/>
      <c r="H14" s="7" t="s">
        <v>26</v>
      </c>
      <c r="I14" s="8" t="s">
        <v>199</v>
      </c>
      <c r="J14" s="8"/>
      <c r="K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11.5" x14ac:dyDescent="0.15">
      <c r="A15" s="7">
        <v>10</v>
      </c>
      <c r="B15" s="7">
        <f t="shared" si="0"/>
        <v>1010</v>
      </c>
      <c r="C15" s="7" t="str">
        <f t="shared" si="1"/>
        <v>A</v>
      </c>
      <c r="D15" s="8" t="str">
        <f t="shared" si="2"/>
        <v>文字列</v>
      </c>
      <c r="E15" s="8" t="s">
        <v>206</v>
      </c>
      <c r="F15" s="8" t="s">
        <v>212</v>
      </c>
      <c r="G15" s="8"/>
      <c r="H15" s="7">
        <v>10</v>
      </c>
      <c r="I15" s="8" t="s">
        <v>15</v>
      </c>
      <c r="J15" s="8" t="s">
        <v>302</v>
      </c>
      <c r="K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ht="11.5" x14ac:dyDescent="0.15">
      <c r="A16" s="7">
        <v>11</v>
      </c>
      <c r="B16" s="7">
        <f t="shared" si="0"/>
        <v>1011</v>
      </c>
      <c r="C16" s="7" t="str">
        <f t="shared" si="1"/>
        <v>B</v>
      </c>
      <c r="D16" s="8" t="str">
        <f t="shared" si="2"/>
        <v>文字列</v>
      </c>
      <c r="E16" s="8" t="s">
        <v>207</v>
      </c>
      <c r="F16" s="8" t="s">
        <v>35</v>
      </c>
      <c r="G16" s="8"/>
      <c r="H16" s="7">
        <v>10</v>
      </c>
      <c r="I16" s="8" t="s">
        <v>15</v>
      </c>
      <c r="J16" s="8" t="s">
        <v>302</v>
      </c>
      <c r="K16" s="8"/>
      <c r="L16" s="8" t="s">
        <v>275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ht="11.5" x14ac:dyDescent="0.15">
      <c r="A17" s="7">
        <v>12</v>
      </c>
      <c r="B17" s="7">
        <f t="shared" si="0"/>
        <v>1100</v>
      </c>
      <c r="C17" s="7" t="str">
        <f t="shared" si="1"/>
        <v>C</v>
      </c>
      <c r="D17" s="8" t="str">
        <f t="shared" si="2"/>
        <v>文字列</v>
      </c>
      <c r="E17" s="8" t="s">
        <v>37</v>
      </c>
      <c r="F17" s="8" t="s">
        <v>38</v>
      </c>
      <c r="G17" s="8"/>
      <c r="H17" s="7" t="s">
        <v>26</v>
      </c>
      <c r="I17" s="8" t="s">
        <v>199</v>
      </c>
      <c r="J17" s="8"/>
      <c r="K17" s="8"/>
      <c r="L17" s="16" t="s">
        <v>320</v>
      </c>
      <c r="M17" s="13">
        <v>0</v>
      </c>
      <c r="N17" s="13">
        <v>1</v>
      </c>
      <c r="O17" s="13">
        <v>2</v>
      </c>
      <c r="P17" s="13">
        <v>3</v>
      </c>
      <c r="Q17" s="13">
        <v>4</v>
      </c>
      <c r="R17" s="13">
        <v>5</v>
      </c>
      <c r="S17" s="13">
        <v>6</v>
      </c>
      <c r="T17" s="13">
        <v>7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ht="11.5" x14ac:dyDescent="0.15">
      <c r="A18" s="7">
        <v>13</v>
      </c>
      <c r="B18" s="7">
        <f t="shared" si="0"/>
        <v>1101</v>
      </c>
      <c r="C18" s="7" t="str">
        <f t="shared" si="1"/>
        <v>D</v>
      </c>
      <c r="D18" s="8" t="str">
        <f t="shared" si="2"/>
        <v>文字列</v>
      </c>
      <c r="E18" s="8" t="s">
        <v>208</v>
      </c>
      <c r="F18" s="8" t="s">
        <v>213</v>
      </c>
      <c r="G18" s="8"/>
      <c r="H18" s="7" t="s">
        <v>26</v>
      </c>
      <c r="I18" s="8" t="s">
        <v>15</v>
      </c>
      <c r="J18" s="8" t="s">
        <v>303</v>
      </c>
      <c r="K18" s="8"/>
      <c r="L18" s="17">
        <v>0</v>
      </c>
      <c r="M18" s="49" t="s">
        <v>319</v>
      </c>
      <c r="N18" s="49"/>
      <c r="O18" s="49"/>
      <c r="P18" s="49"/>
      <c r="Q18" s="49"/>
      <c r="R18" s="49"/>
      <c r="S18" s="49"/>
      <c r="T18" s="49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ht="11.5" x14ac:dyDescent="0.15">
      <c r="A19" s="7">
        <v>14</v>
      </c>
      <c r="B19" s="7">
        <f t="shared" si="0"/>
        <v>1110</v>
      </c>
      <c r="C19" s="7" t="str">
        <f t="shared" si="1"/>
        <v>E</v>
      </c>
      <c r="D19" s="8" t="str">
        <f t="shared" si="2"/>
        <v>文字列</v>
      </c>
      <c r="E19" s="8" t="s">
        <v>209</v>
      </c>
      <c r="F19" s="8" t="s">
        <v>43</v>
      </c>
      <c r="G19" s="8"/>
      <c r="H19" s="7">
        <v>10</v>
      </c>
      <c r="I19" s="8" t="s">
        <v>15</v>
      </c>
      <c r="J19" s="8" t="s">
        <v>302</v>
      </c>
      <c r="K19" s="8"/>
      <c r="L19" s="50">
        <v>1</v>
      </c>
      <c r="M19" s="14" t="s">
        <v>324</v>
      </c>
      <c r="N19" s="14" t="s">
        <v>211</v>
      </c>
      <c r="O19" s="14" t="s">
        <v>325</v>
      </c>
      <c r="P19" s="14" t="s">
        <v>211</v>
      </c>
      <c r="Q19" s="14">
        <v>0</v>
      </c>
      <c r="R19" s="14">
        <v>0</v>
      </c>
      <c r="S19" s="13" t="s">
        <v>210</v>
      </c>
      <c r="T19" s="13" t="s">
        <v>210</v>
      </c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11.5" x14ac:dyDescent="0.15">
      <c r="A20" s="7">
        <v>15</v>
      </c>
      <c r="B20" s="7">
        <f t="shared" si="0"/>
        <v>1111</v>
      </c>
      <c r="C20" s="7" t="str">
        <f t="shared" si="1"/>
        <v>F</v>
      </c>
      <c r="D20" s="8" t="str">
        <f t="shared" si="2"/>
        <v>文字列</v>
      </c>
      <c r="E20" s="8"/>
      <c r="F20" s="8"/>
      <c r="G20" s="8"/>
      <c r="H20" s="7"/>
      <c r="I20" s="8"/>
      <c r="J20" s="8"/>
      <c r="K20" s="8"/>
      <c r="L20" s="51"/>
      <c r="M20" s="14">
        <v>1</v>
      </c>
      <c r="N20" s="14">
        <v>1</v>
      </c>
      <c r="O20" s="14">
        <v>1</v>
      </c>
      <c r="P20" s="14">
        <v>1</v>
      </c>
      <c r="Q20" s="14" t="s">
        <v>10</v>
      </c>
      <c r="R20" s="14"/>
      <c r="S20" s="14">
        <v>0</v>
      </c>
      <c r="T20" s="14">
        <v>0</v>
      </c>
      <c r="U20" s="9" t="s">
        <v>323</v>
      </c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ht="11.5" x14ac:dyDescent="0.15">
      <c r="A21" s="7">
        <v>16</v>
      </c>
      <c r="B21" s="7">
        <f t="shared" si="0"/>
        <v>10000</v>
      </c>
      <c r="C21" s="7" t="str">
        <f t="shared" si="1"/>
        <v>10</v>
      </c>
      <c r="D21" s="8" t="str">
        <f t="shared" si="2"/>
        <v>文字列</v>
      </c>
      <c r="E21" s="8"/>
      <c r="F21" s="8"/>
      <c r="G21" s="8"/>
      <c r="H21" s="7"/>
      <c r="I21" s="8"/>
      <c r="J21" s="8"/>
      <c r="K21" s="8"/>
      <c r="L21" s="51"/>
      <c r="M21" s="14">
        <v>0</v>
      </c>
      <c r="N21" s="14">
        <v>1</v>
      </c>
      <c r="O21" s="14">
        <v>0</v>
      </c>
      <c r="P21" s="14">
        <v>1</v>
      </c>
      <c r="Q21" s="14" t="s">
        <v>347</v>
      </c>
      <c r="R21" s="14"/>
      <c r="S21" s="14">
        <v>0</v>
      </c>
      <c r="T21" s="14">
        <v>1</v>
      </c>
      <c r="U21" s="9" t="s">
        <v>221</v>
      </c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ht="11.5" x14ac:dyDescent="0.15">
      <c r="A22" s="7">
        <v>17</v>
      </c>
      <c r="B22" s="7">
        <f t="shared" si="0"/>
        <v>10001</v>
      </c>
      <c r="C22" s="7" t="str">
        <f t="shared" si="1"/>
        <v>11</v>
      </c>
      <c r="D22" s="8" t="str">
        <f t="shared" si="2"/>
        <v>文字列</v>
      </c>
      <c r="E22" s="8"/>
      <c r="F22" s="8"/>
      <c r="G22" s="8"/>
      <c r="H22" s="7"/>
      <c r="I22" s="8"/>
      <c r="J22" s="8"/>
      <c r="K22" s="8"/>
      <c r="L22" s="51"/>
      <c r="M22" s="14">
        <v>0</v>
      </c>
      <c r="N22" s="14">
        <v>0</v>
      </c>
      <c r="O22" s="14">
        <v>0</v>
      </c>
      <c r="P22" s="14">
        <v>0</v>
      </c>
      <c r="Q22" s="14" t="s">
        <v>224</v>
      </c>
      <c r="R22" s="14"/>
      <c r="S22" s="14">
        <v>1</v>
      </c>
      <c r="T22" s="14">
        <v>0</v>
      </c>
      <c r="U22" s="9" t="s">
        <v>222</v>
      </c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ht="11.5" x14ac:dyDescent="0.15">
      <c r="A23" s="7">
        <v>18</v>
      </c>
      <c r="B23" s="7">
        <f t="shared" si="0"/>
        <v>10010</v>
      </c>
      <c r="C23" s="7" t="str">
        <f t="shared" si="1"/>
        <v>12</v>
      </c>
      <c r="D23" s="8" t="str">
        <f t="shared" si="2"/>
        <v>文字列</v>
      </c>
      <c r="E23" s="8"/>
      <c r="F23" s="8"/>
      <c r="G23" s="8"/>
      <c r="H23" s="7"/>
      <c r="I23" s="8"/>
      <c r="J23" s="8"/>
      <c r="K23" s="8"/>
      <c r="L23" s="52"/>
      <c r="M23" s="14">
        <v>1</v>
      </c>
      <c r="N23" s="14">
        <v>0</v>
      </c>
      <c r="O23" s="14">
        <v>1</v>
      </c>
      <c r="P23" s="14">
        <v>0</v>
      </c>
      <c r="Q23" s="14" t="s">
        <v>225</v>
      </c>
      <c r="R23" s="14"/>
      <c r="S23" s="14">
        <v>1</v>
      </c>
      <c r="T23" s="14">
        <v>1</v>
      </c>
      <c r="U23" s="9" t="s">
        <v>223</v>
      </c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ht="11.5" x14ac:dyDescent="0.15">
      <c r="A24" s="7">
        <v>19</v>
      </c>
      <c r="B24" s="7">
        <f t="shared" si="0"/>
        <v>10011</v>
      </c>
      <c r="C24" s="7" t="str">
        <f t="shared" si="1"/>
        <v>13</v>
      </c>
      <c r="D24" s="8" t="str">
        <f t="shared" si="2"/>
        <v>文字列</v>
      </c>
      <c r="E24" s="8"/>
      <c r="F24" s="8"/>
      <c r="G24" s="8"/>
      <c r="H24" s="7"/>
      <c r="I24" s="8"/>
      <c r="J24" s="8"/>
      <c r="K24" s="8"/>
      <c r="L24" s="53">
        <v>2</v>
      </c>
      <c r="M24" s="14" t="s">
        <v>214</v>
      </c>
      <c r="N24" s="14" t="s">
        <v>215</v>
      </c>
      <c r="O24" s="14" t="s">
        <v>216</v>
      </c>
      <c r="P24" s="14" t="s">
        <v>217</v>
      </c>
      <c r="Q24" s="14" t="s">
        <v>218</v>
      </c>
      <c r="R24" s="14" t="s">
        <v>219</v>
      </c>
      <c r="S24" s="14" t="s">
        <v>220</v>
      </c>
      <c r="T24" s="14" t="s">
        <v>220</v>
      </c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ht="11.5" x14ac:dyDescent="0.15">
      <c r="A25" s="7">
        <v>20</v>
      </c>
      <c r="B25" s="7">
        <f t="shared" si="0"/>
        <v>10100</v>
      </c>
      <c r="C25" s="7" t="str">
        <f t="shared" si="1"/>
        <v>14</v>
      </c>
      <c r="D25" s="8" t="str">
        <f t="shared" si="2"/>
        <v>文字列</v>
      </c>
      <c r="E25" s="8"/>
      <c r="F25" s="8"/>
      <c r="G25" s="8"/>
      <c r="H25" s="7"/>
      <c r="I25" s="8"/>
      <c r="J25" s="8"/>
      <c r="K25" s="8"/>
      <c r="L25" s="53"/>
      <c r="M25" s="14" t="s">
        <v>327</v>
      </c>
      <c r="N25" s="14" t="s">
        <v>331</v>
      </c>
      <c r="O25" s="14" t="s">
        <v>329</v>
      </c>
      <c r="P25" s="14" t="s">
        <v>329</v>
      </c>
      <c r="Q25" s="14" t="s">
        <v>332</v>
      </c>
      <c r="R25" s="14" t="s">
        <v>332</v>
      </c>
      <c r="S25" s="14" t="s">
        <v>333</v>
      </c>
      <c r="T25" s="14" t="s">
        <v>349</v>
      </c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ht="11.5" x14ac:dyDescent="0.15">
      <c r="A26" s="7">
        <v>21</v>
      </c>
      <c r="B26" s="7">
        <f t="shared" si="0"/>
        <v>10101</v>
      </c>
      <c r="C26" s="7" t="str">
        <f t="shared" si="1"/>
        <v>15</v>
      </c>
      <c r="D26" s="8" t="str">
        <f t="shared" si="2"/>
        <v>文字列</v>
      </c>
      <c r="E26" s="8"/>
      <c r="F26" s="8"/>
      <c r="G26" s="8"/>
      <c r="H26" s="7"/>
      <c r="I26" s="8"/>
      <c r="J26" s="8"/>
      <c r="K26" s="8"/>
      <c r="L26" s="53"/>
      <c r="M26" s="14" t="s">
        <v>326</v>
      </c>
      <c r="N26" s="14" t="s">
        <v>328</v>
      </c>
      <c r="O26" s="14" t="s">
        <v>330</v>
      </c>
      <c r="P26" s="14" t="s">
        <v>330</v>
      </c>
      <c r="Q26" s="14" t="s">
        <v>330</v>
      </c>
      <c r="R26" s="14" t="s">
        <v>330</v>
      </c>
      <c r="S26" s="14" t="s">
        <v>334</v>
      </c>
      <c r="T26" s="14" t="s">
        <v>348</v>
      </c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ht="11.5" x14ac:dyDescent="0.15">
      <c r="A27" s="7">
        <v>22</v>
      </c>
      <c r="B27" s="7">
        <f t="shared" si="0"/>
        <v>10110</v>
      </c>
      <c r="C27" s="7" t="str">
        <f t="shared" si="1"/>
        <v>16</v>
      </c>
      <c r="D27" s="8" t="str">
        <f t="shared" si="2"/>
        <v>文字列</v>
      </c>
      <c r="E27" s="8"/>
      <c r="F27" s="8"/>
      <c r="G27" s="8"/>
      <c r="H27" s="7"/>
      <c r="I27" s="8"/>
      <c r="J27" s="8"/>
      <c r="K27" s="8"/>
      <c r="L27" s="15">
        <v>3</v>
      </c>
      <c r="M27" s="53" t="s">
        <v>321</v>
      </c>
      <c r="N27" s="53"/>
      <c r="O27" s="53"/>
      <c r="P27" s="53"/>
      <c r="Q27" s="53"/>
      <c r="R27" s="53"/>
      <c r="S27" s="53"/>
      <c r="T27" s="53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ht="11.5" x14ac:dyDescent="0.15">
      <c r="A28" s="7">
        <v>23</v>
      </c>
      <c r="B28" s="7">
        <f t="shared" si="0"/>
        <v>10111</v>
      </c>
      <c r="C28" s="7" t="str">
        <f t="shared" si="1"/>
        <v>17</v>
      </c>
      <c r="D28" s="8" t="str">
        <f t="shared" si="2"/>
        <v>文字列</v>
      </c>
      <c r="E28" s="8"/>
      <c r="F28" s="8"/>
      <c r="G28" s="8"/>
      <c r="H28" s="7"/>
      <c r="I28" s="8"/>
      <c r="J28" s="8"/>
      <c r="K28" s="8"/>
      <c r="L28" s="15">
        <v>4</v>
      </c>
      <c r="M28" s="53"/>
      <c r="N28" s="53"/>
      <c r="O28" s="53"/>
      <c r="P28" s="53"/>
      <c r="Q28" s="53"/>
      <c r="R28" s="53"/>
      <c r="S28" s="53"/>
      <c r="T28" s="53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ht="11.5" x14ac:dyDescent="0.15">
      <c r="A29" s="7">
        <v>24</v>
      </c>
      <c r="B29" s="7">
        <f t="shared" si="0"/>
        <v>11000</v>
      </c>
      <c r="C29" s="7" t="str">
        <f t="shared" si="1"/>
        <v>18</v>
      </c>
      <c r="D29" s="8" t="str">
        <f t="shared" si="2"/>
        <v>文字列</v>
      </c>
      <c r="E29" s="8" t="s">
        <v>44</v>
      </c>
      <c r="F29" s="8" t="s">
        <v>369</v>
      </c>
      <c r="G29" s="8"/>
      <c r="H29" s="7" t="s">
        <v>26</v>
      </c>
      <c r="I29" s="8" t="s">
        <v>199</v>
      </c>
      <c r="J29" s="8"/>
      <c r="K29" s="8"/>
      <c r="L29" s="15">
        <v>5</v>
      </c>
      <c r="M29" s="46" t="s">
        <v>322</v>
      </c>
      <c r="N29" s="46"/>
      <c r="O29" s="46"/>
      <c r="P29" s="46"/>
      <c r="Q29" s="46"/>
      <c r="R29" s="46"/>
      <c r="S29" s="46"/>
      <c r="T29" s="46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ht="11.9" customHeight="1" x14ac:dyDescent="0.15">
      <c r="A30" s="7">
        <v>25</v>
      </c>
      <c r="B30" s="7">
        <f t="shared" si="0"/>
        <v>11001</v>
      </c>
      <c r="C30" s="7" t="str">
        <f t="shared" si="1"/>
        <v>19</v>
      </c>
      <c r="D30" s="8" t="str">
        <f t="shared" si="2"/>
        <v>文字列</v>
      </c>
      <c r="E30" s="11" t="s">
        <v>46</v>
      </c>
      <c r="F30" s="8" t="s">
        <v>47</v>
      </c>
      <c r="G30" s="8"/>
      <c r="H30" s="7" t="s">
        <v>26</v>
      </c>
      <c r="I30" s="8" t="s">
        <v>10</v>
      </c>
      <c r="J30" s="8" t="s">
        <v>303</v>
      </c>
      <c r="K30" s="8"/>
      <c r="L30" s="15">
        <v>6</v>
      </c>
      <c r="M30" s="46"/>
      <c r="N30" s="46"/>
      <c r="O30" s="46"/>
      <c r="P30" s="46"/>
      <c r="Q30" s="46"/>
      <c r="R30" s="46"/>
      <c r="S30" s="46"/>
      <c r="T30" s="46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ht="11.5" x14ac:dyDescent="0.15">
      <c r="A31" s="7">
        <v>26</v>
      </c>
      <c r="B31" s="7">
        <f t="shared" si="0"/>
        <v>11010</v>
      </c>
      <c r="C31" s="7" t="str">
        <f t="shared" si="1"/>
        <v>1A</v>
      </c>
      <c r="D31" s="8" t="str">
        <f t="shared" si="2"/>
        <v>文字列</v>
      </c>
      <c r="E31" s="8" t="s">
        <v>48</v>
      </c>
      <c r="F31" s="8" t="s">
        <v>45</v>
      </c>
      <c r="G31" s="8"/>
      <c r="H31" s="7" t="s">
        <v>26</v>
      </c>
      <c r="I31" s="8" t="s">
        <v>199</v>
      </c>
      <c r="J31" s="8"/>
      <c r="K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ht="11.9" customHeight="1" x14ac:dyDescent="0.15">
      <c r="A32" s="7">
        <v>27</v>
      </c>
      <c r="B32" s="7">
        <f t="shared" si="0"/>
        <v>11011</v>
      </c>
      <c r="C32" s="7" t="str">
        <f t="shared" si="1"/>
        <v>1B</v>
      </c>
      <c r="D32" s="8" t="str">
        <f t="shared" si="2"/>
        <v>文字列</v>
      </c>
      <c r="E32" s="11" t="s">
        <v>49</v>
      </c>
      <c r="F32" s="8" t="s">
        <v>47</v>
      </c>
      <c r="G32" s="8"/>
      <c r="H32" s="7" t="s">
        <v>26</v>
      </c>
      <c r="I32" s="8" t="s">
        <v>347</v>
      </c>
      <c r="J32" s="8" t="s">
        <v>303</v>
      </c>
      <c r="K32" s="8"/>
      <c r="L32" s="8" t="s">
        <v>287</v>
      </c>
      <c r="M32" s="8" t="s">
        <v>345</v>
      </c>
      <c r="N32" s="8"/>
      <c r="O32" s="9" t="s">
        <v>385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ht="11.5" x14ac:dyDescent="0.15">
      <c r="A33" s="7">
        <v>28</v>
      </c>
      <c r="B33" s="7">
        <f t="shared" si="0"/>
        <v>11100</v>
      </c>
      <c r="C33" s="7" t="str">
        <f t="shared" si="1"/>
        <v>1C</v>
      </c>
      <c r="D33" s="8" t="str">
        <f t="shared" si="2"/>
        <v>文字列</v>
      </c>
      <c r="E33" s="8" t="s">
        <v>149</v>
      </c>
      <c r="F33" s="8" t="s">
        <v>226</v>
      </c>
      <c r="G33" s="8"/>
      <c r="H33" s="7" t="s">
        <v>26</v>
      </c>
      <c r="I33" s="8" t="s">
        <v>199</v>
      </c>
      <c r="J33" s="8"/>
      <c r="K33" s="8"/>
      <c r="L33" s="13">
        <v>0</v>
      </c>
      <c r="M33" s="17" t="s">
        <v>339</v>
      </c>
      <c r="N33" s="17" t="s">
        <v>340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ht="11.5" x14ac:dyDescent="0.15">
      <c r="A34" s="7">
        <v>29</v>
      </c>
      <c r="B34" s="7">
        <f t="shared" si="0"/>
        <v>11101</v>
      </c>
      <c r="C34" s="7" t="str">
        <f t="shared" si="1"/>
        <v>1D</v>
      </c>
      <c r="D34" s="8" t="str">
        <f t="shared" si="2"/>
        <v>文字列</v>
      </c>
      <c r="E34" s="8" t="s">
        <v>150</v>
      </c>
      <c r="F34" s="8" t="s">
        <v>227</v>
      </c>
      <c r="G34" s="8"/>
      <c r="H34" s="7" t="s">
        <v>26</v>
      </c>
      <c r="I34" s="8" t="s">
        <v>148</v>
      </c>
      <c r="J34" s="8" t="s">
        <v>303</v>
      </c>
      <c r="K34" s="8"/>
      <c r="L34" s="13">
        <v>1</v>
      </c>
      <c r="M34" s="17" t="s">
        <v>342</v>
      </c>
      <c r="N34" s="17" t="s">
        <v>343</v>
      </c>
      <c r="O34" s="9">
        <v>0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ht="11.5" x14ac:dyDescent="0.15">
      <c r="A35" s="7">
        <v>30</v>
      </c>
      <c r="B35" s="7">
        <f t="shared" si="0"/>
        <v>11110</v>
      </c>
      <c r="C35" s="7" t="str">
        <f t="shared" si="1"/>
        <v>1E</v>
      </c>
      <c r="D35" s="8" t="str">
        <f t="shared" si="2"/>
        <v>文字列</v>
      </c>
      <c r="E35" s="8" t="s">
        <v>190</v>
      </c>
      <c r="F35" s="8" t="s">
        <v>45</v>
      </c>
      <c r="G35" s="8"/>
      <c r="H35" s="7" t="s">
        <v>26</v>
      </c>
      <c r="I35" s="8" t="s">
        <v>199</v>
      </c>
      <c r="J35" s="8"/>
      <c r="K35" s="8"/>
      <c r="L35" s="13">
        <v>2</v>
      </c>
      <c r="M35" s="17" t="s">
        <v>342</v>
      </c>
      <c r="N35" s="17" t="s">
        <v>344</v>
      </c>
      <c r="O35" s="9">
        <v>0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ht="11.5" x14ac:dyDescent="0.15">
      <c r="A36" s="7">
        <v>31</v>
      </c>
      <c r="B36" s="7">
        <f t="shared" si="0"/>
        <v>11111</v>
      </c>
      <c r="C36" s="7" t="str">
        <f t="shared" si="1"/>
        <v>1F</v>
      </c>
      <c r="D36" s="8" t="str">
        <f t="shared" si="2"/>
        <v>文字列</v>
      </c>
      <c r="E36" s="8" t="s">
        <v>191</v>
      </c>
      <c r="F36" s="8" t="s">
        <v>47</v>
      </c>
      <c r="G36" s="8"/>
      <c r="H36" s="7" t="s">
        <v>26</v>
      </c>
      <c r="I36" s="8" t="s">
        <v>231</v>
      </c>
      <c r="J36" s="8" t="s">
        <v>303</v>
      </c>
      <c r="K36" s="8"/>
      <c r="L36" s="13">
        <v>3</v>
      </c>
      <c r="M36" s="46" t="s">
        <v>305</v>
      </c>
      <c r="N36" s="46" t="s">
        <v>306</v>
      </c>
      <c r="O36" s="9">
        <v>0</v>
      </c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ht="11.5" x14ac:dyDescent="0.15">
      <c r="A37" s="7">
        <v>32</v>
      </c>
      <c r="B37" s="7">
        <f t="shared" si="0"/>
        <v>100000</v>
      </c>
      <c r="C37" s="7" t="str">
        <f t="shared" si="1"/>
        <v>20</v>
      </c>
      <c r="D37" s="8" t="str">
        <f t="shared" si="2"/>
        <v>文字列</v>
      </c>
      <c r="E37" s="9" t="s">
        <v>192</v>
      </c>
      <c r="F37" s="8" t="s">
        <v>193</v>
      </c>
      <c r="G37" s="8"/>
      <c r="H37" s="7" t="s">
        <v>26</v>
      </c>
      <c r="I37" s="8" t="s">
        <v>199</v>
      </c>
      <c r="J37" s="8"/>
      <c r="K37" s="8"/>
      <c r="L37" s="13">
        <v>4</v>
      </c>
      <c r="M37" s="46"/>
      <c r="N37" s="46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ht="11.5" x14ac:dyDescent="0.15">
      <c r="A38" s="7">
        <v>33</v>
      </c>
      <c r="B38" s="7">
        <f t="shared" si="0"/>
        <v>100001</v>
      </c>
      <c r="C38" s="7" t="str">
        <f t="shared" si="1"/>
        <v>21</v>
      </c>
      <c r="D38" s="8" t="str">
        <f t="shared" si="2"/>
        <v>文字列</v>
      </c>
      <c r="E38" s="9" t="s">
        <v>194</v>
      </c>
      <c r="F38" s="8" t="s">
        <v>195</v>
      </c>
      <c r="G38" s="8"/>
      <c r="H38" s="7" t="s">
        <v>26</v>
      </c>
      <c r="I38" s="8" t="s">
        <v>346</v>
      </c>
      <c r="J38" s="8" t="s">
        <v>303</v>
      </c>
      <c r="K38" s="8"/>
      <c r="L38" s="13">
        <v>5</v>
      </c>
      <c r="M38" s="46" t="s">
        <v>307</v>
      </c>
      <c r="N38" s="46" t="s">
        <v>309</v>
      </c>
      <c r="O38" s="9">
        <v>0</v>
      </c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ht="11.5" x14ac:dyDescent="0.15">
      <c r="A39" s="7">
        <v>34</v>
      </c>
      <c r="B39" s="7">
        <f t="shared" si="0"/>
        <v>100010</v>
      </c>
      <c r="C39" s="7" t="str">
        <f t="shared" si="1"/>
        <v>22</v>
      </c>
      <c r="D39" s="8" t="str">
        <f t="shared" si="2"/>
        <v>文字列</v>
      </c>
      <c r="E39" s="9" t="s">
        <v>200</v>
      </c>
      <c r="F39" s="8" t="s">
        <v>202</v>
      </c>
      <c r="G39" s="8"/>
      <c r="H39" s="7" t="s">
        <v>26</v>
      </c>
      <c r="I39" s="8" t="s">
        <v>204</v>
      </c>
      <c r="J39" s="8"/>
      <c r="K39" s="8"/>
      <c r="L39" s="13">
        <v>6</v>
      </c>
      <c r="M39" s="46"/>
      <c r="N39" s="46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ht="11.5" x14ac:dyDescent="0.15">
      <c r="A40" s="7">
        <v>35</v>
      </c>
      <c r="B40" s="7">
        <f t="shared" si="0"/>
        <v>100011</v>
      </c>
      <c r="C40" s="7" t="str">
        <f t="shared" si="1"/>
        <v>23</v>
      </c>
      <c r="D40" s="8" t="str">
        <f t="shared" si="2"/>
        <v>文字列</v>
      </c>
      <c r="E40" s="9" t="s">
        <v>201</v>
      </c>
      <c r="F40" s="8" t="s">
        <v>203</v>
      </c>
      <c r="G40" s="8"/>
      <c r="H40" s="7" t="s">
        <v>26</v>
      </c>
      <c r="I40" s="8" t="s">
        <v>205</v>
      </c>
      <c r="J40" s="8" t="s">
        <v>303</v>
      </c>
      <c r="K40" s="8"/>
      <c r="L40" s="13">
        <v>7</v>
      </c>
      <c r="M40" s="46" t="s">
        <v>307</v>
      </c>
      <c r="N40" s="46" t="s">
        <v>308</v>
      </c>
      <c r="O40" s="9">
        <v>0</v>
      </c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ht="11.5" x14ac:dyDescent="0.15">
      <c r="A41" s="7">
        <v>36</v>
      </c>
      <c r="B41" s="7">
        <f t="shared" si="0"/>
        <v>100100</v>
      </c>
      <c r="C41" s="7" t="str">
        <f t="shared" si="1"/>
        <v>24</v>
      </c>
      <c r="D41" s="8" t="str">
        <f t="shared" si="2"/>
        <v>文字列</v>
      </c>
      <c r="E41" s="8" t="s">
        <v>51</v>
      </c>
      <c r="F41" s="8" t="s">
        <v>52</v>
      </c>
      <c r="G41" s="8"/>
      <c r="H41" s="7" t="s">
        <v>26</v>
      </c>
      <c r="I41" s="8"/>
      <c r="J41" s="8"/>
      <c r="K41" s="8"/>
      <c r="L41" s="13">
        <v>8</v>
      </c>
      <c r="M41" s="46"/>
      <c r="N41" s="46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ht="11.5" x14ac:dyDescent="0.15">
      <c r="A42" s="7">
        <v>37</v>
      </c>
      <c r="B42" s="7">
        <f t="shared" si="0"/>
        <v>100101</v>
      </c>
      <c r="C42" s="7" t="str">
        <f t="shared" si="1"/>
        <v>25</v>
      </c>
      <c r="D42" s="8" t="str">
        <f t="shared" si="2"/>
        <v>文字列</v>
      </c>
      <c r="E42" s="8" t="s">
        <v>53</v>
      </c>
      <c r="F42" s="8" t="s">
        <v>54</v>
      </c>
      <c r="G42" s="8"/>
      <c r="H42" s="7" t="s">
        <v>26</v>
      </c>
      <c r="I42" s="8"/>
      <c r="J42" s="8"/>
      <c r="K42" s="8"/>
      <c r="L42" s="13">
        <v>9</v>
      </c>
      <c r="M42" s="46" t="s">
        <v>307</v>
      </c>
      <c r="N42" s="46" t="s">
        <v>357</v>
      </c>
      <c r="O42" s="9">
        <v>0</v>
      </c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ht="11.5" x14ac:dyDescent="0.15">
      <c r="A43" s="7">
        <v>38</v>
      </c>
      <c r="B43" s="7">
        <f t="shared" si="0"/>
        <v>100110</v>
      </c>
      <c r="C43" s="7" t="str">
        <f t="shared" si="1"/>
        <v>26</v>
      </c>
      <c r="D43" s="8" t="str">
        <f t="shared" si="2"/>
        <v>文字列</v>
      </c>
      <c r="E43" s="8"/>
      <c r="F43" s="8"/>
      <c r="G43" s="8"/>
      <c r="H43" s="7"/>
      <c r="I43" s="8"/>
      <c r="J43" s="8"/>
      <c r="K43" s="8"/>
      <c r="L43" s="13">
        <v>10</v>
      </c>
      <c r="M43" s="46"/>
      <c r="N43" s="46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ht="11.5" x14ac:dyDescent="0.15">
      <c r="A44" s="7">
        <v>39</v>
      </c>
      <c r="B44" s="7">
        <f t="shared" si="0"/>
        <v>100111</v>
      </c>
      <c r="C44" s="7" t="str">
        <f t="shared" si="1"/>
        <v>27</v>
      </c>
      <c r="D44" s="8" t="str">
        <f t="shared" si="2"/>
        <v>文字列</v>
      </c>
      <c r="E44" s="8"/>
      <c r="F44" s="8"/>
      <c r="G44" s="8"/>
      <c r="H44" s="7"/>
      <c r="I44" s="8"/>
      <c r="J44" s="8"/>
      <c r="K44" s="8"/>
      <c r="L44" s="13">
        <v>11</v>
      </c>
      <c r="M44" s="46" t="s">
        <v>341</v>
      </c>
      <c r="N44" s="46" t="s">
        <v>315</v>
      </c>
      <c r="O44" s="9">
        <v>0</v>
      </c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ht="11.5" x14ac:dyDescent="0.15">
      <c r="A45" s="7">
        <v>40</v>
      </c>
      <c r="B45" s="7">
        <f t="shared" si="0"/>
        <v>101000</v>
      </c>
      <c r="C45" s="7" t="str">
        <f t="shared" si="1"/>
        <v>28</v>
      </c>
      <c r="D45" s="8" t="str">
        <f t="shared" si="2"/>
        <v>文字列</v>
      </c>
      <c r="E45" s="8" t="s">
        <v>55</v>
      </c>
      <c r="F45" s="8" t="s">
        <v>56</v>
      </c>
      <c r="G45" s="8"/>
      <c r="H45" s="7" t="s">
        <v>26</v>
      </c>
      <c r="I45" s="8" t="s">
        <v>199</v>
      </c>
      <c r="J45" s="8"/>
      <c r="K45" s="8"/>
      <c r="L45" s="13">
        <v>12</v>
      </c>
      <c r="M45" s="46"/>
      <c r="N45" s="46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ht="11.5" x14ac:dyDescent="0.15">
      <c r="A46" s="7">
        <v>41</v>
      </c>
      <c r="B46" s="7">
        <f t="shared" si="0"/>
        <v>101001</v>
      </c>
      <c r="C46" s="7" t="str">
        <f t="shared" si="1"/>
        <v>29</v>
      </c>
      <c r="D46" s="8" t="str">
        <f t="shared" si="2"/>
        <v>文字列</v>
      </c>
      <c r="E46" s="8" t="s">
        <v>57</v>
      </c>
      <c r="F46" s="8" t="s">
        <v>58</v>
      </c>
      <c r="G46" s="8"/>
      <c r="H46" s="7" t="s">
        <v>26</v>
      </c>
      <c r="I46" s="8" t="s">
        <v>275</v>
      </c>
      <c r="J46" s="8" t="s">
        <v>303</v>
      </c>
      <c r="K46" s="8"/>
      <c r="L46" s="13">
        <v>13</v>
      </c>
      <c r="M46" s="46"/>
      <c r="N46" s="46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ht="11.5" x14ac:dyDescent="0.15">
      <c r="A47" s="7">
        <v>42</v>
      </c>
      <c r="B47" s="7">
        <f t="shared" si="0"/>
        <v>101010</v>
      </c>
      <c r="C47" s="7" t="str">
        <f t="shared" si="1"/>
        <v>2A</v>
      </c>
      <c r="D47" s="8" t="str">
        <f t="shared" si="2"/>
        <v>文字列</v>
      </c>
      <c r="E47" s="8" t="s">
        <v>59</v>
      </c>
      <c r="F47" s="8" t="s">
        <v>56</v>
      </c>
      <c r="G47" s="8"/>
      <c r="H47" s="7" t="s">
        <v>26</v>
      </c>
      <c r="I47" s="8" t="s">
        <v>199</v>
      </c>
      <c r="J47" s="8"/>
      <c r="K47" s="8"/>
      <c r="L47" s="13">
        <v>14</v>
      </c>
      <c r="M47" s="46"/>
      <c r="N47" s="46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ht="11.5" x14ac:dyDescent="0.15">
      <c r="A48" s="7">
        <v>43</v>
      </c>
      <c r="B48" s="7">
        <f t="shared" si="0"/>
        <v>101011</v>
      </c>
      <c r="C48" s="7" t="str">
        <f t="shared" si="1"/>
        <v>2B</v>
      </c>
      <c r="D48" s="8" t="str">
        <f t="shared" si="2"/>
        <v>文字列</v>
      </c>
      <c r="E48" s="8" t="s">
        <v>60</v>
      </c>
      <c r="F48" s="8" t="s">
        <v>58</v>
      </c>
      <c r="G48" s="8"/>
      <c r="H48" s="7" t="s">
        <v>26</v>
      </c>
      <c r="I48" s="8" t="s">
        <v>347</v>
      </c>
      <c r="J48" s="8" t="s">
        <v>303</v>
      </c>
      <c r="K48" s="8"/>
      <c r="L48" s="13">
        <v>15</v>
      </c>
      <c r="M48" s="46" t="s">
        <v>341</v>
      </c>
      <c r="N48" s="46" t="s">
        <v>318</v>
      </c>
      <c r="O48" s="9">
        <v>0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ht="11.5" x14ac:dyDescent="0.15">
      <c r="A49" s="7">
        <v>44</v>
      </c>
      <c r="B49" s="7">
        <f t="shared" si="0"/>
        <v>101100</v>
      </c>
      <c r="C49" s="7" t="str">
        <f t="shared" si="1"/>
        <v>2C</v>
      </c>
      <c r="D49" s="8" t="str">
        <f t="shared" si="2"/>
        <v>文字列</v>
      </c>
      <c r="E49" s="8" t="s">
        <v>61</v>
      </c>
      <c r="F49" s="8" t="s">
        <v>56</v>
      </c>
      <c r="G49" s="8"/>
      <c r="H49" s="7" t="s">
        <v>26</v>
      </c>
      <c r="I49" s="8" t="s">
        <v>199</v>
      </c>
      <c r="J49" s="8"/>
      <c r="K49" s="8"/>
      <c r="L49" s="13">
        <v>16</v>
      </c>
      <c r="M49" s="46"/>
      <c r="N49" s="46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ht="11.5" x14ac:dyDescent="0.15">
      <c r="A50" s="7">
        <v>45</v>
      </c>
      <c r="B50" s="7">
        <f t="shared" si="0"/>
        <v>101101</v>
      </c>
      <c r="C50" s="7" t="str">
        <f t="shared" si="1"/>
        <v>2D</v>
      </c>
      <c r="D50" s="8" t="str">
        <f t="shared" si="2"/>
        <v>文字列</v>
      </c>
      <c r="E50" s="8" t="s">
        <v>62</v>
      </c>
      <c r="F50" s="8" t="s">
        <v>58</v>
      </c>
      <c r="G50" s="8"/>
      <c r="H50" s="7" t="s">
        <v>26</v>
      </c>
      <c r="I50" s="9" t="s">
        <v>278</v>
      </c>
      <c r="J50" s="8" t="s">
        <v>303</v>
      </c>
      <c r="K50" s="8"/>
      <c r="L50" s="13">
        <v>17</v>
      </c>
      <c r="M50" s="46"/>
      <c r="N50" s="46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ht="11.5" x14ac:dyDescent="0.15">
      <c r="A51" s="7">
        <v>46</v>
      </c>
      <c r="B51" s="7">
        <f t="shared" si="0"/>
        <v>101110</v>
      </c>
      <c r="C51" s="7" t="str">
        <f t="shared" si="1"/>
        <v>2E</v>
      </c>
      <c r="D51" s="8" t="str">
        <f t="shared" si="2"/>
        <v>文字列</v>
      </c>
      <c r="E51" s="8" t="s">
        <v>63</v>
      </c>
      <c r="F51" s="8" t="s">
        <v>56</v>
      </c>
      <c r="G51" s="8"/>
      <c r="H51" s="7" t="s">
        <v>26</v>
      </c>
      <c r="I51" s="8" t="s">
        <v>199</v>
      </c>
      <c r="J51" s="8"/>
      <c r="K51" s="8"/>
      <c r="L51" s="13">
        <v>18</v>
      </c>
      <c r="M51" s="46"/>
      <c r="N51" s="46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ht="11.5" x14ac:dyDescent="0.15">
      <c r="A52" s="7">
        <v>47</v>
      </c>
      <c r="B52" s="7">
        <f t="shared" si="0"/>
        <v>101111</v>
      </c>
      <c r="C52" s="7" t="str">
        <f t="shared" si="1"/>
        <v>2F</v>
      </c>
      <c r="D52" s="8" t="str">
        <f t="shared" si="2"/>
        <v>文字列</v>
      </c>
      <c r="E52" s="8" t="s">
        <v>64</v>
      </c>
      <c r="F52" s="8" t="s">
        <v>58</v>
      </c>
      <c r="G52" s="8"/>
      <c r="H52" s="7" t="s">
        <v>26</v>
      </c>
      <c r="I52" s="8" t="s">
        <v>231</v>
      </c>
      <c r="J52" s="8" t="s">
        <v>303</v>
      </c>
      <c r="K52" s="8"/>
      <c r="L52" s="13">
        <v>19</v>
      </c>
      <c r="M52" s="46" t="s">
        <v>307</v>
      </c>
      <c r="N52" s="46" t="s">
        <v>316</v>
      </c>
      <c r="O52" s="9">
        <v>0</v>
      </c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ht="11.5" x14ac:dyDescent="0.15">
      <c r="A53" s="7">
        <v>48</v>
      </c>
      <c r="B53" s="7">
        <f>DEC2BIN(A53/512)*1000000000+DEC2BIN(MOD(A53,512))</f>
        <v>110000</v>
      </c>
      <c r="C53" s="7" t="str">
        <f>DEC2HEX(A53)</f>
        <v>30</v>
      </c>
      <c r="D53" s="8" t="str">
        <f>IF(A53=0,"-", IF(A53&lt;1024,"文字列",IF(A53&lt;1280,"uint32_t",IF(A53&lt;1536,"uint16_t",IF(A53&lt;1792,"float","fp16")))))</f>
        <v>文字列</v>
      </c>
      <c r="E53" s="8" t="s">
        <v>245</v>
      </c>
      <c r="F53" s="8" t="s">
        <v>56</v>
      </c>
      <c r="G53" s="8"/>
      <c r="H53" s="7" t="s">
        <v>26</v>
      </c>
      <c r="I53" s="8" t="s">
        <v>199</v>
      </c>
      <c r="J53" s="8"/>
      <c r="K53" s="8"/>
      <c r="L53" s="13">
        <v>20</v>
      </c>
      <c r="M53" s="46"/>
      <c r="N53" s="46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ht="11.5" x14ac:dyDescent="0.15">
      <c r="A54" s="7">
        <v>49</v>
      </c>
      <c r="B54" s="7">
        <f>DEC2BIN(A54/512)*1000000000+DEC2BIN(MOD(A54,512))</f>
        <v>110001</v>
      </c>
      <c r="C54" s="7" t="str">
        <f>DEC2HEX(A54)</f>
        <v>31</v>
      </c>
      <c r="D54" s="8" t="str">
        <f>IF(A54=0,"-", IF(A54&lt;1024,"文字列",IF(A54&lt;1280,"uint32_t",IF(A54&lt;1536,"uint16_t",IF(A54&lt;1792,"float","fp16")))))</f>
        <v>文字列</v>
      </c>
      <c r="E54" s="8" t="s">
        <v>246</v>
      </c>
      <c r="F54" s="8" t="s">
        <v>58</v>
      </c>
      <c r="G54" s="8"/>
      <c r="H54" s="7" t="s">
        <v>26</v>
      </c>
      <c r="I54" s="8" t="s">
        <v>346</v>
      </c>
      <c r="J54" s="8" t="s">
        <v>303</v>
      </c>
      <c r="K54" s="8"/>
      <c r="L54" s="13">
        <v>21</v>
      </c>
      <c r="M54" s="46" t="s">
        <v>307</v>
      </c>
      <c r="N54" s="46" t="s">
        <v>317</v>
      </c>
      <c r="O54" s="9">
        <v>0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ht="11.5" x14ac:dyDescent="0.15">
      <c r="A55" s="7">
        <v>50</v>
      </c>
      <c r="B55" s="7">
        <f t="shared" si="0"/>
        <v>110010</v>
      </c>
      <c r="C55" s="7" t="str">
        <f t="shared" si="1"/>
        <v>32</v>
      </c>
      <c r="D55" s="8" t="str">
        <f t="shared" si="2"/>
        <v>文字列</v>
      </c>
      <c r="E55" s="8"/>
      <c r="F55" s="8"/>
      <c r="G55" s="8"/>
      <c r="H55" s="7"/>
      <c r="I55" s="8"/>
      <c r="J55" s="8"/>
      <c r="K55" s="8"/>
      <c r="L55" s="13">
        <v>22</v>
      </c>
      <c r="M55" s="46"/>
      <c r="N55" s="46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ht="11.5" x14ac:dyDescent="0.15">
      <c r="A56" s="7">
        <v>0</v>
      </c>
      <c r="B56" s="7">
        <f t="shared" si="0"/>
        <v>0</v>
      </c>
      <c r="C56" s="7" t="str">
        <f t="shared" si="1"/>
        <v>0</v>
      </c>
      <c r="D56" s="8" t="str">
        <f t="shared" si="2"/>
        <v>-</v>
      </c>
      <c r="E56" s="8"/>
      <c r="F56" s="8"/>
      <c r="G56" s="8"/>
      <c r="H56" s="7"/>
      <c r="I56" s="8"/>
      <c r="J56" s="8"/>
      <c r="K56" s="8"/>
      <c r="L56" s="13">
        <v>23</v>
      </c>
      <c r="M56" s="46" t="s">
        <v>307</v>
      </c>
      <c r="N56" s="54" t="s">
        <v>356</v>
      </c>
      <c r="O56" s="9" t="s">
        <v>390</v>
      </c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ht="11.5" x14ac:dyDescent="0.15">
      <c r="A57" s="7">
        <v>1024</v>
      </c>
      <c r="B57" s="7">
        <f t="shared" si="0"/>
        <v>10000000000</v>
      </c>
      <c r="C57" s="7" t="str">
        <f t="shared" si="1"/>
        <v>400</v>
      </c>
      <c r="D57" s="8" t="str">
        <f t="shared" si="2"/>
        <v>uint32_t</v>
      </c>
      <c r="E57" s="8"/>
      <c r="F57" s="8"/>
      <c r="G57" s="8"/>
      <c r="H57" s="7"/>
      <c r="I57" s="8"/>
      <c r="J57" s="8"/>
      <c r="K57" s="8"/>
      <c r="L57" s="13">
        <v>24</v>
      </c>
      <c r="M57" s="46"/>
      <c r="N57" s="56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ht="11.5" x14ac:dyDescent="0.15">
      <c r="A58" s="7">
        <v>0</v>
      </c>
      <c r="B58" s="7">
        <f t="shared" si="0"/>
        <v>0</v>
      </c>
      <c r="C58" s="7" t="str">
        <f t="shared" si="1"/>
        <v>0</v>
      </c>
      <c r="D58" s="8" t="str">
        <f t="shared" si="2"/>
        <v>-</v>
      </c>
      <c r="E58" s="8"/>
      <c r="F58" s="8"/>
      <c r="G58" s="8"/>
      <c r="H58" s="7"/>
      <c r="I58" s="8"/>
      <c r="J58" s="8"/>
      <c r="K58" s="8"/>
      <c r="L58" s="13">
        <v>25</v>
      </c>
      <c r="M58" s="46" t="s">
        <v>310</v>
      </c>
      <c r="N58" s="46" t="s">
        <v>313</v>
      </c>
      <c r="O58" s="9">
        <v>1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ht="11.5" x14ac:dyDescent="0.15">
      <c r="A59" s="7">
        <v>1040</v>
      </c>
      <c r="B59" s="7">
        <f t="shared" si="0"/>
        <v>10000010000</v>
      </c>
      <c r="C59" s="7" t="str">
        <f t="shared" si="1"/>
        <v>410</v>
      </c>
      <c r="D59" s="8" t="str">
        <f t="shared" si="2"/>
        <v>uint32_t</v>
      </c>
      <c r="E59" s="8" t="s">
        <v>65</v>
      </c>
      <c r="F59" s="8" t="s">
        <v>66</v>
      </c>
      <c r="G59" s="8"/>
      <c r="H59" s="7" t="s">
        <v>26</v>
      </c>
      <c r="I59" s="8" t="s">
        <v>15</v>
      </c>
      <c r="J59" s="8"/>
      <c r="K59" s="8"/>
      <c r="L59" s="13">
        <v>26</v>
      </c>
      <c r="M59" s="46"/>
      <c r="N59" s="46"/>
      <c r="O59" s="9" t="s">
        <v>387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ht="11.5" x14ac:dyDescent="0.15">
      <c r="A60" s="7">
        <v>1041</v>
      </c>
      <c r="B60" s="7">
        <f t="shared" si="0"/>
        <v>10000010001</v>
      </c>
      <c r="C60" s="7" t="str">
        <f t="shared" si="1"/>
        <v>411</v>
      </c>
      <c r="D60" s="8" t="str">
        <f t="shared" si="2"/>
        <v>uint32_t</v>
      </c>
      <c r="E60" s="8" t="s">
        <v>67</v>
      </c>
      <c r="F60" s="8" t="s">
        <v>68</v>
      </c>
      <c r="G60" s="8"/>
      <c r="H60" s="7" t="s">
        <v>26</v>
      </c>
      <c r="I60" s="8" t="s">
        <v>15</v>
      </c>
      <c r="J60" s="8"/>
      <c r="K60" s="8"/>
      <c r="L60" s="13">
        <v>27</v>
      </c>
      <c r="M60" s="46"/>
      <c r="N60" s="46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ht="11.5" x14ac:dyDescent="0.15">
      <c r="A61" s="8">
        <v>0</v>
      </c>
      <c r="B61" s="7">
        <f t="shared" si="0"/>
        <v>0</v>
      </c>
      <c r="C61" s="7" t="str">
        <f t="shared" si="1"/>
        <v>0</v>
      </c>
      <c r="D61" s="8" t="str">
        <f t="shared" si="2"/>
        <v>-</v>
      </c>
      <c r="E61" s="8"/>
      <c r="F61" s="8"/>
      <c r="G61" s="8"/>
      <c r="H61" s="7"/>
      <c r="I61" s="8"/>
      <c r="J61" s="8"/>
      <c r="K61" s="8"/>
      <c r="L61" s="13">
        <v>28</v>
      </c>
      <c r="M61" s="46"/>
      <c r="N61" s="46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ht="11.5" x14ac:dyDescent="0.15">
      <c r="A62" s="7">
        <v>1056</v>
      </c>
      <c r="B62" s="7">
        <f t="shared" si="0"/>
        <v>10000100000</v>
      </c>
      <c r="C62" s="7" t="str">
        <f t="shared" si="1"/>
        <v>420</v>
      </c>
      <c r="D62" s="8" t="str">
        <f t="shared" si="2"/>
        <v>uint32_t</v>
      </c>
      <c r="E62" s="8" t="s">
        <v>69</v>
      </c>
      <c r="F62" s="8" t="s">
        <v>70</v>
      </c>
      <c r="G62" s="8" t="s">
        <v>300</v>
      </c>
      <c r="H62" s="7">
        <v>25</v>
      </c>
      <c r="I62" s="8" t="s">
        <v>288</v>
      </c>
      <c r="J62" s="8" t="s">
        <v>304</v>
      </c>
      <c r="K62" s="8"/>
      <c r="L62" s="13">
        <v>29</v>
      </c>
      <c r="M62" s="46" t="s">
        <v>310</v>
      </c>
      <c r="N62" s="46" t="s">
        <v>314</v>
      </c>
      <c r="O62" s="9">
        <v>1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ht="11.5" x14ac:dyDescent="0.15">
      <c r="A63" s="8">
        <v>1057</v>
      </c>
      <c r="B63" s="7">
        <f t="shared" si="0"/>
        <v>10000100001</v>
      </c>
      <c r="C63" s="7" t="str">
        <f t="shared" si="1"/>
        <v>421</v>
      </c>
      <c r="D63" s="8" t="str">
        <f t="shared" si="2"/>
        <v>uint32_t</v>
      </c>
      <c r="E63" s="8" t="s">
        <v>71</v>
      </c>
      <c r="F63" s="8" t="s">
        <v>72</v>
      </c>
      <c r="G63" s="8"/>
      <c r="H63" s="7">
        <v>25</v>
      </c>
      <c r="I63" s="8" t="s">
        <v>288</v>
      </c>
      <c r="J63" s="8" t="s">
        <v>304</v>
      </c>
      <c r="K63" s="8"/>
      <c r="L63" s="13">
        <v>30</v>
      </c>
      <c r="M63" s="46"/>
      <c r="N63" s="46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ht="11.5" x14ac:dyDescent="0.15">
      <c r="A64" s="7">
        <v>1058</v>
      </c>
      <c r="B64" s="7">
        <f t="shared" si="0"/>
        <v>10000100010</v>
      </c>
      <c r="C64" s="7" t="str">
        <f t="shared" si="1"/>
        <v>422</v>
      </c>
      <c r="D64" s="8" t="str">
        <f t="shared" si="2"/>
        <v>uint32_t</v>
      </c>
      <c r="E64" s="8" t="s">
        <v>73</v>
      </c>
      <c r="F64" s="8" t="s">
        <v>74</v>
      </c>
      <c r="G64" s="8"/>
      <c r="H64" s="7">
        <v>25</v>
      </c>
      <c r="I64" s="8" t="s">
        <v>288</v>
      </c>
      <c r="J64" s="8"/>
      <c r="K64" s="8"/>
      <c r="L64" s="13">
        <v>31</v>
      </c>
      <c r="M64" s="46"/>
      <c r="N64" s="46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ht="11.5" x14ac:dyDescent="0.15">
      <c r="A65" s="8">
        <v>1059</v>
      </c>
      <c r="B65" s="7">
        <f t="shared" si="0"/>
        <v>10000100011</v>
      </c>
      <c r="C65" s="7" t="str">
        <f t="shared" si="1"/>
        <v>423</v>
      </c>
      <c r="D65" s="8" t="str">
        <f t="shared" si="2"/>
        <v>uint32_t</v>
      </c>
      <c r="E65" s="8" t="s">
        <v>75</v>
      </c>
      <c r="F65" s="8" t="s">
        <v>76</v>
      </c>
      <c r="G65" s="8"/>
      <c r="H65" s="7">
        <v>25</v>
      </c>
      <c r="I65" s="8" t="s">
        <v>288</v>
      </c>
      <c r="K65" s="8"/>
      <c r="L65" s="13">
        <v>32</v>
      </c>
      <c r="M65" s="46"/>
      <c r="N65" s="46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ht="11.5" x14ac:dyDescent="0.15">
      <c r="A66" s="7">
        <v>1060</v>
      </c>
      <c r="B66" s="7">
        <f t="shared" ref="B66:B73" si="4">DEC2BIN(A66/512)*1000000000+DEC2BIN(MOD(A66,512))</f>
        <v>10000100100</v>
      </c>
      <c r="C66" s="7" t="str">
        <f t="shared" ref="C66:C73" si="5">DEC2HEX(A66)</f>
        <v>424</v>
      </c>
      <c r="D66" s="8" t="str">
        <f t="shared" ref="D66:D73" si="6">IF(A66=0,"-", IF(A66&lt;1024,"文字列",IF(A66&lt;1280,"uint32_t",IF(A66&lt;1536,"uint16_t",IF(A66&lt;1792,"float","fp16")))))</f>
        <v>uint32_t</v>
      </c>
      <c r="E66" s="8" t="s">
        <v>167</v>
      </c>
      <c r="F66" s="8" t="s">
        <v>154</v>
      </c>
      <c r="G66" s="8" t="s">
        <v>301</v>
      </c>
      <c r="H66" s="7">
        <v>10</v>
      </c>
      <c r="I66" s="8" t="s">
        <v>280</v>
      </c>
      <c r="J66" s="8"/>
      <c r="K66" s="8"/>
      <c r="L66" s="13">
        <v>33</v>
      </c>
      <c r="M66" s="46" t="s">
        <v>307</v>
      </c>
      <c r="N66" s="46" t="s">
        <v>358</v>
      </c>
      <c r="O66" s="9">
        <v>0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ht="11.5" x14ac:dyDescent="0.15">
      <c r="A67" s="8">
        <v>1061</v>
      </c>
      <c r="B67" s="7">
        <f t="shared" si="4"/>
        <v>10000100101</v>
      </c>
      <c r="C67" s="7" t="str">
        <f t="shared" si="5"/>
        <v>425</v>
      </c>
      <c r="D67" s="8" t="str">
        <f t="shared" si="6"/>
        <v>uint32_t</v>
      </c>
      <c r="E67" s="8" t="s">
        <v>168</v>
      </c>
      <c r="F67" s="8" t="s">
        <v>155</v>
      </c>
      <c r="G67" s="8"/>
      <c r="H67" s="7">
        <v>10</v>
      </c>
      <c r="I67" s="8" t="s">
        <v>152</v>
      </c>
      <c r="J67" s="8"/>
      <c r="K67" s="8"/>
      <c r="L67" s="13">
        <v>34</v>
      </c>
      <c r="M67" s="46"/>
      <c r="N67" s="46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ht="11.5" x14ac:dyDescent="0.15">
      <c r="A68" s="7">
        <v>1062</v>
      </c>
      <c r="B68" s="7">
        <f t="shared" si="4"/>
        <v>10000100110</v>
      </c>
      <c r="C68" s="7" t="str">
        <f t="shared" si="5"/>
        <v>426</v>
      </c>
      <c r="D68" s="8" t="str">
        <f t="shared" si="6"/>
        <v>uint32_t</v>
      </c>
      <c r="E68" s="8" t="s">
        <v>169</v>
      </c>
      <c r="F68" s="8" t="s">
        <v>156</v>
      </c>
      <c r="G68" s="8"/>
      <c r="H68" s="7">
        <v>10</v>
      </c>
      <c r="I68" s="8" t="s">
        <v>152</v>
      </c>
      <c r="J68" s="8"/>
      <c r="K68" s="8"/>
      <c r="L68" s="13">
        <v>35</v>
      </c>
      <c r="M68" s="46" t="s">
        <v>307</v>
      </c>
      <c r="N68" s="54" t="s">
        <v>391</v>
      </c>
      <c r="O68" s="9">
        <v>0</v>
      </c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ht="11.5" x14ac:dyDescent="0.15">
      <c r="A69" s="8">
        <v>1063</v>
      </c>
      <c r="B69" s="7">
        <f t="shared" si="4"/>
        <v>10000100111</v>
      </c>
      <c r="C69" s="7" t="str">
        <f t="shared" si="5"/>
        <v>427</v>
      </c>
      <c r="D69" s="8" t="str">
        <f t="shared" si="6"/>
        <v>uint32_t</v>
      </c>
      <c r="E69" s="8" t="s">
        <v>166</v>
      </c>
      <c r="F69" s="8" t="s">
        <v>157</v>
      </c>
      <c r="G69" s="8"/>
      <c r="H69" s="7">
        <v>10</v>
      </c>
      <c r="I69" s="8" t="s">
        <v>381</v>
      </c>
      <c r="J69" s="8"/>
      <c r="K69" s="8"/>
      <c r="L69" s="13">
        <v>36</v>
      </c>
      <c r="M69" s="46"/>
      <c r="N69" s="56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ht="11.5" x14ac:dyDescent="0.15">
      <c r="A70" s="7">
        <v>1064</v>
      </c>
      <c r="B70" s="7">
        <f t="shared" si="4"/>
        <v>10000101000</v>
      </c>
      <c r="C70" s="7" t="str">
        <f t="shared" si="5"/>
        <v>428</v>
      </c>
      <c r="D70" s="8" t="str">
        <f t="shared" si="6"/>
        <v>uint32_t</v>
      </c>
      <c r="E70" s="8" t="s">
        <v>165</v>
      </c>
      <c r="F70" s="8" t="s">
        <v>158</v>
      </c>
      <c r="G70" s="8" t="s">
        <v>301</v>
      </c>
      <c r="H70" s="7">
        <v>10</v>
      </c>
      <c r="I70" s="8" t="s">
        <v>148</v>
      </c>
      <c r="J70" s="8" t="s">
        <v>304</v>
      </c>
      <c r="K70" s="8"/>
      <c r="L70" s="13">
        <v>37</v>
      </c>
      <c r="M70" s="46" t="s">
        <v>310</v>
      </c>
      <c r="N70" s="46" t="s">
        <v>311</v>
      </c>
      <c r="O70" s="9">
        <v>1</v>
      </c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ht="11.5" x14ac:dyDescent="0.15">
      <c r="A71" s="8">
        <v>1065</v>
      </c>
      <c r="B71" s="7">
        <f t="shared" si="4"/>
        <v>10000101001</v>
      </c>
      <c r="C71" s="7" t="str">
        <f t="shared" si="5"/>
        <v>429</v>
      </c>
      <c r="D71" s="8" t="str">
        <f t="shared" si="6"/>
        <v>uint32_t</v>
      </c>
      <c r="E71" s="8" t="s">
        <v>164</v>
      </c>
      <c r="F71" s="8" t="s">
        <v>159</v>
      </c>
      <c r="G71" s="8"/>
      <c r="H71" s="7">
        <v>10</v>
      </c>
      <c r="I71" s="8" t="s">
        <v>148</v>
      </c>
      <c r="J71" s="8" t="s">
        <v>304</v>
      </c>
      <c r="K71" s="8"/>
      <c r="L71" s="13">
        <v>38</v>
      </c>
      <c r="M71" s="46"/>
      <c r="N71" s="46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ht="11.5" x14ac:dyDescent="0.15">
      <c r="A72" s="7">
        <v>1066</v>
      </c>
      <c r="B72" s="7">
        <f t="shared" si="4"/>
        <v>10000101010</v>
      </c>
      <c r="C72" s="7" t="str">
        <f t="shared" si="5"/>
        <v>42A</v>
      </c>
      <c r="D72" s="8" t="str">
        <f t="shared" si="6"/>
        <v>uint32_t</v>
      </c>
      <c r="E72" s="8" t="s">
        <v>163</v>
      </c>
      <c r="F72" s="8" t="s">
        <v>160</v>
      </c>
      <c r="G72" s="8"/>
      <c r="H72" s="7">
        <v>10</v>
      </c>
      <c r="I72" s="8" t="s">
        <v>148</v>
      </c>
      <c r="J72" s="8"/>
      <c r="K72" s="8"/>
      <c r="L72" s="13">
        <v>39</v>
      </c>
      <c r="M72" s="46"/>
      <c r="N72" s="46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ht="11.5" x14ac:dyDescent="0.15">
      <c r="A73" s="8">
        <v>1067</v>
      </c>
      <c r="B73" s="7">
        <f t="shared" si="4"/>
        <v>10000101011</v>
      </c>
      <c r="C73" s="7" t="str">
        <f t="shared" si="5"/>
        <v>42B</v>
      </c>
      <c r="D73" s="8" t="str">
        <f t="shared" si="6"/>
        <v>uint32_t</v>
      </c>
      <c r="E73" s="8" t="s">
        <v>162</v>
      </c>
      <c r="F73" s="8" t="s">
        <v>161</v>
      </c>
      <c r="G73" s="8"/>
      <c r="H73" s="7">
        <v>10</v>
      </c>
      <c r="I73" s="9" t="s">
        <v>148</v>
      </c>
      <c r="K73" s="8"/>
      <c r="L73" s="13">
        <v>40</v>
      </c>
      <c r="M73" s="46"/>
      <c r="N73" s="46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ht="11.5" x14ac:dyDescent="0.15">
      <c r="A74" s="8">
        <v>0</v>
      </c>
      <c r="B74" s="7">
        <f t="shared" si="0"/>
        <v>0</v>
      </c>
      <c r="C74" s="7" t="str">
        <f t="shared" si="1"/>
        <v>0</v>
      </c>
      <c r="D74" s="8" t="str">
        <f t="shared" si="2"/>
        <v>-</v>
      </c>
      <c r="E74" s="8"/>
      <c r="F74" s="8"/>
      <c r="G74" s="8"/>
      <c r="H74" s="7"/>
      <c r="I74" s="8"/>
      <c r="J74" s="8"/>
      <c r="K74" s="8"/>
      <c r="L74" s="13">
        <v>41</v>
      </c>
      <c r="M74" s="46" t="s">
        <v>310</v>
      </c>
      <c r="N74" s="46" t="s">
        <v>312</v>
      </c>
      <c r="O74" s="9">
        <v>1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ht="11.5" x14ac:dyDescent="0.15">
      <c r="A75" s="7">
        <v>1279</v>
      </c>
      <c r="B75" s="7">
        <f t="shared" si="0"/>
        <v>10011111111</v>
      </c>
      <c r="C75" s="7" t="str">
        <f t="shared" si="1"/>
        <v>4FF</v>
      </c>
      <c r="D75" s="8" t="str">
        <f t="shared" si="2"/>
        <v>uint32_t</v>
      </c>
      <c r="E75" s="8"/>
      <c r="F75" s="8"/>
      <c r="G75" s="8"/>
      <c r="H75" s="7"/>
      <c r="I75" s="8"/>
      <c r="J75" s="8"/>
      <c r="K75" s="8"/>
      <c r="L75" s="13">
        <v>42</v>
      </c>
      <c r="M75" s="46"/>
      <c r="N75" s="46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ht="11.5" x14ac:dyDescent="0.15">
      <c r="A76" s="7">
        <v>1280</v>
      </c>
      <c r="B76" s="7">
        <f t="shared" si="0"/>
        <v>10100000000</v>
      </c>
      <c r="C76" s="7" t="str">
        <f t="shared" si="1"/>
        <v>500</v>
      </c>
      <c r="D76" s="8" t="str">
        <f t="shared" si="2"/>
        <v>uint16_t</v>
      </c>
      <c r="E76" s="8"/>
      <c r="F76" s="8"/>
      <c r="G76" s="8"/>
      <c r="H76" s="7"/>
      <c r="I76" s="8"/>
      <c r="J76" s="8"/>
      <c r="K76" s="8"/>
      <c r="L76" s="13">
        <v>43</v>
      </c>
      <c r="M76" s="46"/>
      <c r="N76" s="46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ht="11.5" x14ac:dyDescent="0.15">
      <c r="A77" s="7">
        <v>0</v>
      </c>
      <c r="B77" s="7">
        <f t="shared" si="0"/>
        <v>0</v>
      </c>
      <c r="C77" s="7" t="str">
        <f t="shared" si="1"/>
        <v>0</v>
      </c>
      <c r="D77" s="8" t="str">
        <f t="shared" si="2"/>
        <v>-</v>
      </c>
      <c r="E77" s="8"/>
      <c r="F77" s="8"/>
      <c r="G77" s="8"/>
      <c r="H77" s="7"/>
      <c r="I77" s="8"/>
      <c r="J77" s="8"/>
      <c r="K77" s="8"/>
      <c r="L77" s="13">
        <v>44</v>
      </c>
      <c r="M77" s="46"/>
      <c r="N77" s="46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ht="12" customHeight="1" x14ac:dyDescent="0.15">
      <c r="A78" s="7">
        <v>1535</v>
      </c>
      <c r="B78" s="7">
        <f t="shared" si="0"/>
        <v>10111111111</v>
      </c>
      <c r="C78" s="7" t="str">
        <f t="shared" si="1"/>
        <v>5FF</v>
      </c>
      <c r="D78" s="8" t="str">
        <f t="shared" si="2"/>
        <v>uint16_t</v>
      </c>
      <c r="E78" s="8"/>
      <c r="F78" s="8"/>
      <c r="G78" s="8"/>
      <c r="H78" s="7"/>
      <c r="I78" s="8"/>
      <c r="J78" s="8"/>
      <c r="K78" s="8"/>
      <c r="L78" s="13">
        <v>45</v>
      </c>
      <c r="M78" s="54" t="s">
        <v>383</v>
      </c>
      <c r="N78" s="57" t="s">
        <v>384</v>
      </c>
      <c r="O78" s="9" t="s">
        <v>386</v>
      </c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ht="11.5" x14ac:dyDescent="0.15">
      <c r="A79" s="7">
        <v>1536</v>
      </c>
      <c r="B79" s="7">
        <f t="shared" si="0"/>
        <v>11000000000</v>
      </c>
      <c r="C79" s="7" t="str">
        <f t="shared" si="1"/>
        <v>600</v>
      </c>
      <c r="D79" s="8" t="str">
        <f t="shared" si="2"/>
        <v>float</v>
      </c>
      <c r="E79" s="8"/>
      <c r="F79" s="8"/>
      <c r="G79" s="8"/>
      <c r="H79" s="7"/>
      <c r="I79" s="8"/>
      <c r="J79" s="8"/>
      <c r="K79" s="8"/>
      <c r="L79" s="13">
        <v>46</v>
      </c>
      <c r="M79" s="55"/>
      <c r="N79" s="5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ht="11.5" x14ac:dyDescent="0.15">
      <c r="A80" s="7">
        <v>0</v>
      </c>
      <c r="B80" s="7">
        <f t="shared" si="0"/>
        <v>0</v>
      </c>
      <c r="C80" s="7" t="str">
        <f t="shared" si="1"/>
        <v>0</v>
      </c>
      <c r="D80" s="8" t="str">
        <f t="shared" si="2"/>
        <v>-</v>
      </c>
      <c r="K80" s="8"/>
      <c r="L80" s="13">
        <v>47</v>
      </c>
      <c r="M80" s="55"/>
      <c r="N80" s="5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ht="11.5" x14ac:dyDescent="0.15">
      <c r="A81" s="7">
        <v>1552</v>
      </c>
      <c r="B81" s="7">
        <f t="shared" si="0"/>
        <v>11000010000</v>
      </c>
      <c r="C81" s="7" t="str">
        <f t="shared" si="1"/>
        <v>610</v>
      </c>
      <c r="D81" s="8" t="str">
        <f t="shared" si="2"/>
        <v>float</v>
      </c>
      <c r="E81" s="8" t="s">
        <v>81</v>
      </c>
      <c r="F81" s="8" t="s">
        <v>82</v>
      </c>
      <c r="H81" s="7" t="s">
        <v>26</v>
      </c>
      <c r="I81" s="9" t="s">
        <v>199</v>
      </c>
      <c r="K81" s="8"/>
      <c r="L81" s="13">
        <v>48</v>
      </c>
      <c r="M81" s="55"/>
      <c r="N81" s="5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ht="11.5" x14ac:dyDescent="0.15">
      <c r="A82" s="7">
        <v>1553</v>
      </c>
      <c r="B82" s="7">
        <f t="shared" si="0"/>
        <v>11000010001</v>
      </c>
      <c r="C82" s="7" t="str">
        <f t="shared" si="1"/>
        <v>611</v>
      </c>
      <c r="D82" s="8" t="str">
        <f t="shared" si="2"/>
        <v>float</v>
      </c>
      <c r="E82" s="8" t="s">
        <v>197</v>
      </c>
      <c r="F82" s="8" t="s">
        <v>82</v>
      </c>
      <c r="H82" s="7" t="s">
        <v>26</v>
      </c>
      <c r="I82" s="9" t="s">
        <v>198</v>
      </c>
      <c r="J82" s="8" t="s">
        <v>303</v>
      </c>
      <c r="K82" s="8"/>
      <c r="L82" s="13">
        <v>49</v>
      </c>
      <c r="M82" s="56"/>
      <c r="N82" s="59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ht="11.5" x14ac:dyDescent="0.15">
      <c r="A83" s="7">
        <v>1554</v>
      </c>
      <c r="B83" s="7">
        <f t="shared" si="0"/>
        <v>11000010010</v>
      </c>
      <c r="C83" s="7" t="str">
        <f t="shared" si="1"/>
        <v>612</v>
      </c>
      <c r="D83" s="8" t="str">
        <f t="shared" si="2"/>
        <v>float</v>
      </c>
      <c r="E83" s="8"/>
      <c r="F83" s="8"/>
      <c r="K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ht="11.5" x14ac:dyDescent="0.15">
      <c r="A84" s="7">
        <v>1555</v>
      </c>
      <c r="B84" s="7">
        <f t="shared" si="0"/>
        <v>11000010011</v>
      </c>
      <c r="C84" s="7" t="str">
        <f t="shared" si="1"/>
        <v>613</v>
      </c>
      <c r="D84" s="8" t="str">
        <f t="shared" si="2"/>
        <v>float</v>
      </c>
      <c r="E84" s="8"/>
      <c r="F84" s="8"/>
      <c r="K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ht="11.5" x14ac:dyDescent="0.15">
      <c r="A85" s="7">
        <v>0</v>
      </c>
      <c r="B85" s="7">
        <f t="shared" si="0"/>
        <v>0</v>
      </c>
      <c r="C85" s="7" t="str">
        <f t="shared" si="1"/>
        <v>0</v>
      </c>
      <c r="D85" s="8" t="str">
        <f t="shared" si="2"/>
        <v>-</v>
      </c>
      <c r="E85" s="8"/>
      <c r="F85" s="8"/>
      <c r="G85" s="8"/>
      <c r="H85" s="7"/>
      <c r="I85" s="8"/>
      <c r="J85" s="8"/>
      <c r="K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ht="11.5" x14ac:dyDescent="0.15">
      <c r="A86" s="7">
        <v>1568</v>
      </c>
      <c r="B86" s="7">
        <f t="shared" si="0"/>
        <v>11000100000</v>
      </c>
      <c r="C86" s="7" t="str">
        <f t="shared" si="1"/>
        <v>620</v>
      </c>
      <c r="D86" s="8" t="str">
        <f t="shared" si="2"/>
        <v>float</v>
      </c>
      <c r="E86" s="11" t="s">
        <v>281</v>
      </c>
      <c r="F86" s="11" t="s">
        <v>84</v>
      </c>
      <c r="G86" s="8" t="s">
        <v>170</v>
      </c>
      <c r="H86" s="7">
        <v>10</v>
      </c>
      <c r="I86" s="8" t="s">
        <v>10</v>
      </c>
      <c r="J86" s="8" t="s">
        <v>304</v>
      </c>
      <c r="K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ht="11.5" x14ac:dyDescent="0.15">
      <c r="A87" s="7">
        <v>1569</v>
      </c>
      <c r="B87" s="7">
        <f t="shared" si="0"/>
        <v>11000100001</v>
      </c>
      <c r="C87" s="7" t="str">
        <f t="shared" si="1"/>
        <v>621</v>
      </c>
      <c r="D87" s="8" t="str">
        <f t="shared" si="2"/>
        <v>float</v>
      </c>
      <c r="E87" s="11" t="s">
        <v>85</v>
      </c>
      <c r="F87" s="11" t="s">
        <v>86</v>
      </c>
      <c r="G87" s="8"/>
      <c r="H87" s="7">
        <v>10</v>
      </c>
      <c r="I87" s="8" t="s">
        <v>10</v>
      </c>
      <c r="J87" s="8"/>
      <c r="K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ht="11.5" x14ac:dyDescent="0.15">
      <c r="A88" s="7">
        <v>1570</v>
      </c>
      <c r="B88" s="7">
        <f t="shared" si="0"/>
        <v>11000100010</v>
      </c>
      <c r="C88" s="7" t="str">
        <f t="shared" si="1"/>
        <v>622</v>
      </c>
      <c r="D88" s="8" t="str">
        <f t="shared" si="2"/>
        <v>float</v>
      </c>
      <c r="E88" s="11" t="s">
        <v>87</v>
      </c>
      <c r="F88" s="11" t="s">
        <v>88</v>
      </c>
      <c r="G88" s="8"/>
      <c r="H88" s="7">
        <v>10</v>
      </c>
      <c r="I88" s="8" t="s">
        <v>10</v>
      </c>
      <c r="J88" s="8"/>
      <c r="K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ht="11.5" x14ac:dyDescent="0.15">
      <c r="A89" s="7">
        <v>1571</v>
      </c>
      <c r="B89" s="7">
        <f t="shared" si="0"/>
        <v>11000100011</v>
      </c>
      <c r="C89" s="7" t="str">
        <f t="shared" si="1"/>
        <v>623</v>
      </c>
      <c r="D89" s="8" t="str">
        <f t="shared" si="2"/>
        <v>float</v>
      </c>
      <c r="E89" s="8" t="s">
        <v>89</v>
      </c>
      <c r="F89" s="8" t="s">
        <v>90</v>
      </c>
      <c r="G89" s="8"/>
      <c r="H89" s="7"/>
      <c r="I89" s="8"/>
      <c r="J89" s="8"/>
      <c r="K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ht="11.5" x14ac:dyDescent="0.15">
      <c r="A90" s="7">
        <v>1572</v>
      </c>
      <c r="B90" s="7">
        <f t="shared" si="0"/>
        <v>11000100100</v>
      </c>
      <c r="C90" s="7" t="str">
        <f t="shared" si="1"/>
        <v>624</v>
      </c>
      <c r="D90" s="8" t="str">
        <f t="shared" si="2"/>
        <v>float</v>
      </c>
      <c r="E90" s="8" t="s">
        <v>232</v>
      </c>
      <c r="F90" s="8" t="s">
        <v>233</v>
      </c>
      <c r="G90" s="8" t="s">
        <v>299</v>
      </c>
      <c r="H90" s="7">
        <v>100</v>
      </c>
      <c r="I90" s="8" t="s">
        <v>234</v>
      </c>
      <c r="J90" s="8"/>
      <c r="K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ht="11.5" x14ac:dyDescent="0.15">
      <c r="A91" s="7">
        <v>1573</v>
      </c>
      <c r="B91" s="7">
        <f t="shared" si="0"/>
        <v>11000100101</v>
      </c>
      <c r="C91" s="7" t="str">
        <f t="shared" si="1"/>
        <v>625</v>
      </c>
      <c r="D91" s="8" t="str">
        <f t="shared" si="2"/>
        <v>float</v>
      </c>
      <c r="E91" s="8"/>
      <c r="F91" s="8" t="s">
        <v>91</v>
      </c>
      <c r="G91" s="8"/>
      <c r="H91" s="7"/>
      <c r="I91" s="8"/>
      <c r="J91" s="8"/>
      <c r="K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ht="11.5" x14ac:dyDescent="0.15">
      <c r="A92" s="7">
        <v>1574</v>
      </c>
      <c r="B92" s="7">
        <f t="shared" si="0"/>
        <v>11000100110</v>
      </c>
      <c r="C92" s="7" t="str">
        <f t="shared" si="1"/>
        <v>626</v>
      </c>
      <c r="D92" s="8" t="str">
        <f t="shared" si="2"/>
        <v>float</v>
      </c>
      <c r="E92" s="8"/>
      <c r="F92" s="8" t="s">
        <v>91</v>
      </c>
      <c r="G92" s="8"/>
      <c r="H92" s="7"/>
      <c r="I92" s="8"/>
      <c r="J92" s="8"/>
      <c r="K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ht="11.5" x14ac:dyDescent="0.15">
      <c r="A93" s="7">
        <v>1575</v>
      </c>
      <c r="B93" s="7">
        <f t="shared" si="0"/>
        <v>11000100111</v>
      </c>
      <c r="C93" s="7" t="str">
        <f t="shared" si="1"/>
        <v>627</v>
      </c>
      <c r="D93" s="8" t="str">
        <f t="shared" si="2"/>
        <v>float</v>
      </c>
      <c r="E93" s="8"/>
      <c r="F93" s="8" t="s">
        <v>91</v>
      </c>
      <c r="G93" s="8"/>
      <c r="H93" s="7"/>
      <c r="I93" s="8"/>
      <c r="J93" s="8"/>
      <c r="K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ht="11.5" x14ac:dyDescent="0.15">
      <c r="A94" s="7">
        <v>1576</v>
      </c>
      <c r="B94" s="7">
        <f t="shared" si="0"/>
        <v>11000101000</v>
      </c>
      <c r="C94" s="7" t="str">
        <f t="shared" si="1"/>
        <v>628</v>
      </c>
      <c r="D94" s="8" t="str">
        <f t="shared" si="2"/>
        <v>float</v>
      </c>
      <c r="F94" s="8" t="s">
        <v>230</v>
      </c>
      <c r="J94" s="8"/>
      <c r="K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ht="11.5" x14ac:dyDescent="0.15">
      <c r="A95" s="7">
        <v>1577</v>
      </c>
      <c r="B95" s="7">
        <f t="shared" si="0"/>
        <v>11000101001</v>
      </c>
      <c r="C95" s="7" t="str">
        <f>DEC2HEX(A95)</f>
        <v>629</v>
      </c>
      <c r="D95" s="8" t="str">
        <f t="shared" si="2"/>
        <v>float</v>
      </c>
      <c r="F95" s="8" t="s">
        <v>230</v>
      </c>
      <c r="J95" s="8"/>
      <c r="K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ht="11.5" x14ac:dyDescent="0.15">
      <c r="A96" s="7">
        <v>1578</v>
      </c>
      <c r="B96" s="7">
        <f t="shared" si="0"/>
        <v>11000101010</v>
      </c>
      <c r="C96" s="7" t="str">
        <f t="shared" si="1"/>
        <v>62A</v>
      </c>
      <c r="D96" s="8" t="str">
        <f t="shared" si="2"/>
        <v>float</v>
      </c>
      <c r="E96" s="8"/>
      <c r="F96" s="8" t="s">
        <v>230</v>
      </c>
      <c r="G96" s="8"/>
      <c r="H96" s="7"/>
      <c r="I96" s="8"/>
      <c r="J96" s="8"/>
      <c r="K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ht="11.5" x14ac:dyDescent="0.15">
      <c r="A97" s="7">
        <v>1579</v>
      </c>
      <c r="B97" s="7">
        <f t="shared" si="0"/>
        <v>11000101011</v>
      </c>
      <c r="C97" s="7" t="str">
        <f t="shared" si="1"/>
        <v>62B</v>
      </c>
      <c r="D97" s="8" t="str">
        <f t="shared" si="2"/>
        <v>float</v>
      </c>
      <c r="E97" s="8"/>
      <c r="F97" s="8" t="s">
        <v>230</v>
      </c>
      <c r="G97" s="8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ht="11.5" x14ac:dyDescent="0.15">
      <c r="A98" s="7">
        <v>1580</v>
      </c>
      <c r="B98" s="7">
        <f t="shared" si="0"/>
        <v>11000101100</v>
      </c>
      <c r="C98" s="7" t="str">
        <f t="shared" si="1"/>
        <v>62C</v>
      </c>
      <c r="D98" s="8" t="str">
        <f t="shared" si="2"/>
        <v>float</v>
      </c>
      <c r="E98" s="8" t="s">
        <v>174</v>
      </c>
      <c r="F98" s="8" t="s">
        <v>94</v>
      </c>
      <c r="G98" s="8"/>
      <c r="H98" s="7">
        <v>10</v>
      </c>
      <c r="I98" s="11" t="s">
        <v>147</v>
      </c>
      <c r="J98" s="8" t="s">
        <v>304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ht="11.5" x14ac:dyDescent="0.15">
      <c r="A99" s="7">
        <v>1581</v>
      </c>
      <c r="B99" s="7">
        <f t="shared" si="0"/>
        <v>11000101101</v>
      </c>
      <c r="C99" s="7" t="str">
        <f t="shared" si="1"/>
        <v>62D</v>
      </c>
      <c r="D99" s="8" t="str">
        <f t="shared" si="2"/>
        <v>float</v>
      </c>
      <c r="E99" s="8"/>
      <c r="F99" s="8" t="s">
        <v>94</v>
      </c>
      <c r="G99" s="8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ht="11.5" x14ac:dyDescent="0.15">
      <c r="A100" s="7">
        <v>1582</v>
      </c>
      <c r="B100" s="7">
        <f t="shared" si="0"/>
        <v>11000101110</v>
      </c>
      <c r="C100" s="7" t="str">
        <f t="shared" si="1"/>
        <v>62E</v>
      </c>
      <c r="D100" s="8" t="str">
        <f t="shared" si="2"/>
        <v>float</v>
      </c>
      <c r="E100" s="8"/>
      <c r="F100" s="8" t="s">
        <v>94</v>
      </c>
      <c r="G100" s="8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ht="11.5" x14ac:dyDescent="0.15">
      <c r="A101" s="7">
        <v>1583</v>
      </c>
      <c r="B101" s="7">
        <f t="shared" si="0"/>
        <v>11000101111</v>
      </c>
      <c r="C101" s="7" t="str">
        <f t="shared" si="1"/>
        <v>62F</v>
      </c>
      <c r="D101" s="8" t="str">
        <f t="shared" si="2"/>
        <v>float</v>
      </c>
      <c r="E101" s="8"/>
      <c r="F101" s="8" t="s">
        <v>94</v>
      </c>
      <c r="G101" s="8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ht="11.5" x14ac:dyDescent="0.15">
      <c r="A102" s="7">
        <v>1584</v>
      </c>
      <c r="B102" s="7">
        <f t="shared" si="0"/>
        <v>11000110000</v>
      </c>
      <c r="C102" s="7" t="str">
        <f t="shared" si="1"/>
        <v>630</v>
      </c>
      <c r="D102" s="8" t="str">
        <f t="shared" si="2"/>
        <v>float</v>
      </c>
      <c r="E102" s="11" t="s">
        <v>95</v>
      </c>
      <c r="F102" s="11" t="s">
        <v>84</v>
      </c>
      <c r="G102" s="8" t="s">
        <v>298</v>
      </c>
      <c r="H102" s="7">
        <v>10</v>
      </c>
      <c r="I102" s="8" t="s">
        <v>347</v>
      </c>
      <c r="J102" s="8" t="s">
        <v>304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ht="11.5" x14ac:dyDescent="0.15">
      <c r="A103" s="7">
        <v>1585</v>
      </c>
      <c r="B103" s="7">
        <f t="shared" si="0"/>
        <v>11000110001</v>
      </c>
      <c r="C103" s="7" t="str">
        <f t="shared" si="1"/>
        <v>631</v>
      </c>
      <c r="D103" s="8" t="str">
        <f t="shared" si="2"/>
        <v>float</v>
      </c>
      <c r="E103" s="11" t="s">
        <v>96</v>
      </c>
      <c r="F103" s="11" t="s">
        <v>86</v>
      </c>
      <c r="G103" s="8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ht="11.5" x14ac:dyDescent="0.15">
      <c r="A104" s="7">
        <v>1586</v>
      </c>
      <c r="B104" s="7">
        <f t="shared" si="0"/>
        <v>11000110010</v>
      </c>
      <c r="C104" s="7" t="str">
        <f t="shared" si="1"/>
        <v>632</v>
      </c>
      <c r="D104" s="8" t="str">
        <f t="shared" si="2"/>
        <v>float</v>
      </c>
      <c r="E104" s="11" t="s">
        <v>97</v>
      </c>
      <c r="F104" s="11" t="s">
        <v>88</v>
      </c>
      <c r="G104" s="8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ht="11.5" x14ac:dyDescent="0.15">
      <c r="A105" s="7">
        <v>1587</v>
      </c>
      <c r="B105" s="7">
        <f t="shared" si="0"/>
        <v>11000110011</v>
      </c>
      <c r="C105" s="7" t="str">
        <f t="shared" si="1"/>
        <v>633</v>
      </c>
      <c r="D105" s="8" t="str">
        <f t="shared" si="2"/>
        <v>float</v>
      </c>
      <c r="E105" s="8" t="s">
        <v>98</v>
      </c>
      <c r="F105" s="8" t="s">
        <v>90</v>
      </c>
      <c r="G105" s="8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ht="11.5" x14ac:dyDescent="0.15">
      <c r="A106" s="7">
        <v>1588</v>
      </c>
      <c r="B106" s="7">
        <f t="shared" si="0"/>
        <v>11000110100</v>
      </c>
      <c r="C106" s="7" t="str">
        <f t="shared" si="1"/>
        <v>634</v>
      </c>
      <c r="D106" s="8" t="str">
        <f t="shared" si="2"/>
        <v>float</v>
      </c>
      <c r="E106" s="8"/>
      <c r="F106" s="8" t="s">
        <v>91</v>
      </c>
      <c r="G106" s="8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ht="11.5" x14ac:dyDescent="0.15">
      <c r="A107" s="7">
        <v>1589</v>
      </c>
      <c r="B107" s="7">
        <f t="shared" si="0"/>
        <v>11000110101</v>
      </c>
      <c r="C107" s="7" t="str">
        <f t="shared" si="1"/>
        <v>635</v>
      </c>
      <c r="D107" s="8" t="str">
        <f t="shared" si="2"/>
        <v>float</v>
      </c>
      <c r="E107" s="8"/>
      <c r="F107" s="8" t="s">
        <v>91</v>
      </c>
      <c r="G107" s="8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ht="11.5" x14ac:dyDescent="0.15">
      <c r="A108" s="7">
        <v>1590</v>
      </c>
      <c r="B108" s="7">
        <f t="shared" si="0"/>
        <v>11000110110</v>
      </c>
      <c r="C108" s="7" t="str">
        <f t="shared" si="1"/>
        <v>636</v>
      </c>
      <c r="D108" s="8" t="str">
        <f t="shared" si="2"/>
        <v>float</v>
      </c>
      <c r="E108" s="8"/>
      <c r="F108" s="8" t="s">
        <v>91</v>
      </c>
      <c r="G108" s="8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ht="11.5" x14ac:dyDescent="0.15">
      <c r="A109" s="7">
        <v>1591</v>
      </c>
      <c r="B109" s="7">
        <f t="shared" si="0"/>
        <v>11000110111</v>
      </c>
      <c r="C109" s="7" t="str">
        <f t="shared" si="1"/>
        <v>637</v>
      </c>
      <c r="D109" s="8" t="str">
        <f t="shared" si="2"/>
        <v>float</v>
      </c>
      <c r="E109" s="8"/>
      <c r="F109" s="8" t="s">
        <v>91</v>
      </c>
      <c r="G109" s="8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ht="11.5" x14ac:dyDescent="0.15">
      <c r="A110" s="7">
        <v>1592</v>
      </c>
      <c r="B110" s="7">
        <f t="shared" si="0"/>
        <v>11000111000</v>
      </c>
      <c r="C110" s="7" t="str">
        <f t="shared" si="1"/>
        <v>638</v>
      </c>
      <c r="D110" s="8" t="str">
        <f t="shared" si="2"/>
        <v>float</v>
      </c>
      <c r="E110" s="11"/>
      <c r="F110" s="8" t="s">
        <v>230</v>
      </c>
      <c r="G110" s="8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ht="11.5" x14ac:dyDescent="0.15">
      <c r="A111" s="7">
        <v>1593</v>
      </c>
      <c r="B111" s="7">
        <f t="shared" si="0"/>
        <v>11000111001</v>
      </c>
      <c r="C111" s="7" t="str">
        <f t="shared" si="1"/>
        <v>639</v>
      </c>
      <c r="D111" s="8" t="str">
        <f t="shared" si="2"/>
        <v>float</v>
      </c>
      <c r="E111" s="8"/>
      <c r="F111" s="8" t="s">
        <v>92</v>
      </c>
      <c r="G111" s="8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ht="11.5" x14ac:dyDescent="0.15">
      <c r="A112" s="7">
        <v>1594</v>
      </c>
      <c r="B112" s="7">
        <f t="shared" si="0"/>
        <v>11000111010</v>
      </c>
      <c r="C112" s="7" t="str">
        <f t="shared" si="1"/>
        <v>63A</v>
      </c>
      <c r="D112" s="8" t="str">
        <f t="shared" si="2"/>
        <v>float</v>
      </c>
      <c r="E112" s="8"/>
      <c r="F112" s="8" t="s">
        <v>92</v>
      </c>
      <c r="G112" s="8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ht="11.5" x14ac:dyDescent="0.15">
      <c r="A113" s="7">
        <v>1595</v>
      </c>
      <c r="B113" s="7">
        <f t="shared" si="0"/>
        <v>11000111011</v>
      </c>
      <c r="C113" s="7" t="str">
        <f t="shared" si="1"/>
        <v>63B</v>
      </c>
      <c r="D113" s="8" t="str">
        <f t="shared" si="2"/>
        <v>float</v>
      </c>
      <c r="E113" s="8"/>
      <c r="F113" s="8" t="s">
        <v>92</v>
      </c>
      <c r="G113" s="8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ht="11.5" x14ac:dyDescent="0.15">
      <c r="A114" s="7">
        <v>1596</v>
      </c>
      <c r="B114" s="7">
        <f t="shared" si="0"/>
        <v>11000111100</v>
      </c>
      <c r="C114" s="7" t="str">
        <f t="shared" si="1"/>
        <v>63C</v>
      </c>
      <c r="D114" s="8" t="str">
        <f t="shared" si="2"/>
        <v>float</v>
      </c>
      <c r="E114" s="8" t="s">
        <v>99</v>
      </c>
      <c r="F114" s="8" t="s">
        <v>94</v>
      </c>
      <c r="G114" s="8"/>
      <c r="H114" s="7">
        <v>10</v>
      </c>
      <c r="I114" s="8" t="s">
        <v>263</v>
      </c>
      <c r="J114" s="8" t="s">
        <v>304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ht="11.5" x14ac:dyDescent="0.15">
      <c r="A115" s="7">
        <v>1597</v>
      </c>
      <c r="B115" s="7">
        <f t="shared" si="0"/>
        <v>11000111101</v>
      </c>
      <c r="C115" s="7" t="str">
        <f t="shared" si="1"/>
        <v>63D</v>
      </c>
      <c r="D115" s="8" t="str">
        <f t="shared" si="2"/>
        <v>float</v>
      </c>
      <c r="E115" s="8" t="s">
        <v>354</v>
      </c>
      <c r="F115" s="8" t="s">
        <v>94</v>
      </c>
      <c r="G115" s="8"/>
      <c r="H115" s="7">
        <v>10</v>
      </c>
      <c r="I115" s="8" t="s">
        <v>355</v>
      </c>
      <c r="J115" s="8" t="s">
        <v>353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ht="11.5" x14ac:dyDescent="0.15">
      <c r="A116" s="7">
        <v>1598</v>
      </c>
      <c r="B116" s="7">
        <f>DEC2BIN(A116/512)*1000000000+DEC2BIN(MOD(A116,512))</f>
        <v>11000111110</v>
      </c>
      <c r="C116" s="7" t="str">
        <f>DEC2HEX(A116)</f>
        <v>63E</v>
      </c>
      <c r="D116" s="8" t="str">
        <f>IF(A116=0,"-", IF(A116&lt;1024,"文字列",IF(A116&lt;1280,"uint32_t",IF(A116&lt;1536,"uint16_t",IF(A116&lt;1792,"float","fp16")))))</f>
        <v>float</v>
      </c>
      <c r="E116" s="8" t="s">
        <v>171</v>
      </c>
      <c r="F116" s="8" t="s">
        <v>94</v>
      </c>
      <c r="G116" s="8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ht="11.5" x14ac:dyDescent="0.15">
      <c r="A117" s="7">
        <v>1599</v>
      </c>
      <c r="B117" s="7">
        <f t="shared" si="0"/>
        <v>11000111111</v>
      </c>
      <c r="C117" s="7" t="str">
        <f t="shared" si="1"/>
        <v>63F</v>
      </c>
      <c r="D117" s="8" t="str">
        <f t="shared" si="2"/>
        <v>float</v>
      </c>
      <c r="E117" s="9" t="s">
        <v>338</v>
      </c>
      <c r="F117" s="8" t="s">
        <v>94</v>
      </c>
      <c r="G117" s="8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ht="11.5" x14ac:dyDescent="0.15">
      <c r="A118" s="7">
        <v>1600</v>
      </c>
      <c r="B118" s="7">
        <f t="shared" si="0"/>
        <v>11001000000</v>
      </c>
      <c r="C118" s="7" t="str">
        <f t="shared" ref="C118:C126" si="7">DEC2HEX(A118)</f>
        <v>640</v>
      </c>
      <c r="D118" s="8" t="str">
        <f t="shared" ref="D118:D133" si="8">IF(A118=0,"-", IF(A118&lt;1024,"文字列",IF(A118&lt;1280,"uint32_t",IF(A118&lt;1536,"uint16_t",IF(A118&lt;1792,"float","fp16")))))</f>
        <v>float</v>
      </c>
      <c r="E118" s="11" t="s">
        <v>235</v>
      </c>
      <c r="F118" s="11" t="s">
        <v>84</v>
      </c>
      <c r="G118" s="8" t="s">
        <v>170</v>
      </c>
      <c r="H118" s="7">
        <v>100</v>
      </c>
      <c r="I118" s="8" t="s">
        <v>148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ht="11.5" x14ac:dyDescent="0.15">
      <c r="A119" s="7">
        <v>1601</v>
      </c>
      <c r="B119" s="7">
        <f t="shared" si="0"/>
        <v>11001000001</v>
      </c>
      <c r="C119" s="7" t="str">
        <f t="shared" si="7"/>
        <v>641</v>
      </c>
      <c r="D119" s="8" t="str">
        <f t="shared" si="8"/>
        <v>float</v>
      </c>
      <c r="E119" s="11" t="s">
        <v>236</v>
      </c>
      <c r="F119" s="11" t="s">
        <v>86</v>
      </c>
      <c r="G119" s="8"/>
      <c r="H119" s="7">
        <v>100</v>
      </c>
      <c r="I119" s="8" t="s">
        <v>148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ht="11.5" x14ac:dyDescent="0.15">
      <c r="A120" s="7">
        <v>1602</v>
      </c>
      <c r="B120" s="7">
        <f t="shared" si="0"/>
        <v>11001000010</v>
      </c>
      <c r="C120" s="7" t="str">
        <f t="shared" si="7"/>
        <v>642</v>
      </c>
      <c r="D120" s="8" t="str">
        <f t="shared" si="8"/>
        <v>float</v>
      </c>
      <c r="E120" s="11" t="s">
        <v>237</v>
      </c>
      <c r="F120" s="11" t="s">
        <v>88</v>
      </c>
      <c r="G120" s="8"/>
      <c r="H120" s="7">
        <v>100</v>
      </c>
      <c r="I120" s="8" t="s">
        <v>148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ht="11.5" x14ac:dyDescent="0.15">
      <c r="A121" s="7">
        <v>1603</v>
      </c>
      <c r="B121" s="7">
        <f t="shared" si="0"/>
        <v>11001000011</v>
      </c>
      <c r="C121" s="7" t="str">
        <f t="shared" si="7"/>
        <v>643</v>
      </c>
      <c r="D121" s="8" t="str">
        <f t="shared" si="8"/>
        <v>float</v>
      </c>
      <c r="E121" s="8" t="s">
        <v>238</v>
      </c>
      <c r="F121" s="8" t="s">
        <v>90</v>
      </c>
      <c r="G121" s="8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ht="11.5" x14ac:dyDescent="0.15">
      <c r="A122" s="7">
        <v>1604</v>
      </c>
      <c r="B122" s="7">
        <f t="shared" si="0"/>
        <v>11001000100</v>
      </c>
      <c r="C122" s="7" t="str">
        <f t="shared" si="7"/>
        <v>644</v>
      </c>
      <c r="D122" s="8" t="str">
        <f t="shared" si="8"/>
        <v>float</v>
      </c>
      <c r="E122" s="8"/>
      <c r="F122" s="8" t="s">
        <v>233</v>
      </c>
      <c r="G122" s="8"/>
      <c r="H122" s="7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ht="11.5" x14ac:dyDescent="0.15">
      <c r="A123" s="7">
        <v>1605</v>
      </c>
      <c r="B123" s="7">
        <f t="shared" si="0"/>
        <v>11001000101</v>
      </c>
      <c r="C123" s="7" t="str">
        <f t="shared" si="7"/>
        <v>645</v>
      </c>
      <c r="D123" s="8" t="str">
        <f t="shared" si="8"/>
        <v>float</v>
      </c>
      <c r="E123" s="8"/>
      <c r="F123" s="8" t="s">
        <v>91</v>
      </c>
      <c r="G123" s="8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ht="11.5" x14ac:dyDescent="0.15">
      <c r="A124" s="7">
        <v>1606</v>
      </c>
      <c r="B124" s="7">
        <f t="shared" si="0"/>
        <v>11001000110</v>
      </c>
      <c r="C124" s="7" t="str">
        <f t="shared" si="7"/>
        <v>646</v>
      </c>
      <c r="D124" s="8" t="str">
        <f t="shared" si="8"/>
        <v>float</v>
      </c>
      <c r="E124" s="8"/>
      <c r="F124" s="8" t="s">
        <v>91</v>
      </c>
      <c r="G124" s="8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ht="11.5" x14ac:dyDescent="0.15">
      <c r="A125" s="7">
        <v>1607</v>
      </c>
      <c r="B125" s="7">
        <f t="shared" si="0"/>
        <v>11001000111</v>
      </c>
      <c r="C125" s="7" t="str">
        <f t="shared" si="7"/>
        <v>647</v>
      </c>
      <c r="D125" s="8" t="str">
        <f t="shared" si="8"/>
        <v>float</v>
      </c>
      <c r="E125" s="8"/>
      <c r="F125" s="8" t="s">
        <v>91</v>
      </c>
      <c r="G125" s="8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ht="11.5" x14ac:dyDescent="0.15">
      <c r="A126" s="7">
        <v>1608</v>
      </c>
      <c r="B126" s="7">
        <f t="shared" si="0"/>
        <v>11001001000</v>
      </c>
      <c r="C126" s="7" t="str">
        <f t="shared" si="7"/>
        <v>648</v>
      </c>
      <c r="D126" s="8" t="str">
        <f t="shared" si="8"/>
        <v>float</v>
      </c>
      <c r="E126" s="8" t="s">
        <v>283</v>
      </c>
      <c r="F126" s="8" t="s">
        <v>172</v>
      </c>
      <c r="G126" s="8"/>
      <c r="H126" s="7"/>
      <c r="I126" s="8" t="s">
        <v>148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ht="11.5" x14ac:dyDescent="0.15">
      <c r="A127" s="7">
        <v>1609</v>
      </c>
      <c r="B127" s="7">
        <f t="shared" si="0"/>
        <v>11001001001</v>
      </c>
      <c r="C127" s="7" t="str">
        <f>DEC2HEX(A127)</f>
        <v>649</v>
      </c>
      <c r="D127" s="8" t="str">
        <f t="shared" si="8"/>
        <v>float</v>
      </c>
      <c r="E127" s="8" t="s">
        <v>284</v>
      </c>
      <c r="F127" s="8" t="s">
        <v>173</v>
      </c>
      <c r="G127" s="8"/>
      <c r="H127" s="7">
        <v>100</v>
      </c>
      <c r="I127" s="8" t="s">
        <v>148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ht="11.5" x14ac:dyDescent="0.15">
      <c r="A128" s="7">
        <v>1610</v>
      </c>
      <c r="B128" s="7">
        <f t="shared" si="0"/>
        <v>11001001010</v>
      </c>
      <c r="C128" s="7" t="str">
        <f t="shared" ref="C128:C142" si="9">DEC2HEX(A128)</f>
        <v>64A</v>
      </c>
      <c r="D128" s="8" t="str">
        <f t="shared" si="8"/>
        <v>float</v>
      </c>
      <c r="E128" s="8" t="s">
        <v>351</v>
      </c>
      <c r="F128" s="8" t="s">
        <v>350</v>
      </c>
      <c r="G128" s="8"/>
      <c r="H128" s="7">
        <v>100</v>
      </c>
      <c r="I128" s="8" t="s">
        <v>352</v>
      </c>
      <c r="J128" s="8" t="s">
        <v>353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ht="11.5" x14ac:dyDescent="0.15">
      <c r="A129" s="7">
        <v>1611</v>
      </c>
      <c r="B129" s="7">
        <f t="shared" si="0"/>
        <v>11001001011</v>
      </c>
      <c r="C129" s="7" t="str">
        <f t="shared" si="9"/>
        <v>64B</v>
      </c>
      <c r="D129" s="8" t="str">
        <f t="shared" si="8"/>
        <v>float</v>
      </c>
      <c r="E129" s="8"/>
      <c r="F129" s="8" t="s">
        <v>229</v>
      </c>
      <c r="G129" s="8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ht="11.5" x14ac:dyDescent="0.15">
      <c r="A130" s="7">
        <v>1612</v>
      </c>
      <c r="B130" s="7">
        <f t="shared" si="0"/>
        <v>11001001100</v>
      </c>
      <c r="C130" s="7" t="str">
        <f t="shared" si="9"/>
        <v>64C</v>
      </c>
      <c r="D130" s="8" t="str">
        <f t="shared" si="8"/>
        <v>float</v>
      </c>
      <c r="E130" s="8"/>
      <c r="F130" s="8" t="s">
        <v>94</v>
      </c>
      <c r="G130" s="8"/>
      <c r="H130" s="7"/>
      <c r="I130" s="11"/>
      <c r="J130" s="1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ht="11.5" x14ac:dyDescent="0.15">
      <c r="A131" s="7">
        <v>1613</v>
      </c>
      <c r="B131" s="7">
        <f t="shared" si="0"/>
        <v>11001001101</v>
      </c>
      <c r="C131" s="7" t="str">
        <f t="shared" si="9"/>
        <v>64D</v>
      </c>
      <c r="D131" s="8" t="str">
        <f t="shared" si="8"/>
        <v>float</v>
      </c>
      <c r="E131" s="8"/>
      <c r="F131" s="8" t="s">
        <v>94</v>
      </c>
      <c r="G131" s="8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11.5" x14ac:dyDescent="0.15">
      <c r="A132" s="7">
        <v>1614</v>
      </c>
      <c r="B132" s="7">
        <f t="shared" si="0"/>
        <v>11001001110</v>
      </c>
      <c r="C132" s="7" t="str">
        <f t="shared" si="9"/>
        <v>64E</v>
      </c>
      <c r="D132" s="8" t="str">
        <f t="shared" si="8"/>
        <v>float</v>
      </c>
      <c r="E132" s="8"/>
      <c r="F132" s="8" t="s">
        <v>94</v>
      </c>
      <c r="G132" s="8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ht="11.5" x14ac:dyDescent="0.15">
      <c r="A133" s="7">
        <v>1615</v>
      </c>
      <c r="B133" s="7">
        <f t="shared" si="0"/>
        <v>11001001111</v>
      </c>
      <c r="C133" s="7" t="str">
        <f t="shared" si="9"/>
        <v>64F</v>
      </c>
      <c r="D133" s="8" t="str">
        <f t="shared" si="8"/>
        <v>float</v>
      </c>
      <c r="E133" s="8"/>
      <c r="F133" s="8" t="s">
        <v>94</v>
      </c>
      <c r="G133" s="8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ht="11.5" x14ac:dyDescent="0.15">
      <c r="A134" s="7">
        <v>1616</v>
      </c>
      <c r="B134" s="7">
        <f t="shared" ref="B134:B149" si="10">DEC2BIN(A134/512)*1000000000+DEC2BIN(MOD(A134,512))</f>
        <v>11001010000</v>
      </c>
      <c r="C134" s="7" t="str">
        <f t="shared" si="9"/>
        <v>650</v>
      </c>
      <c r="D134" s="8" t="str">
        <f t="shared" ref="D134:D149" si="11">IF(A134=0,"-", IF(A134&lt;1024,"文字列",IF(A134&lt;1280,"uint32_t",IF(A134&lt;1536,"uint16_t",IF(A134&lt;1792,"float","fp16")))))</f>
        <v>float</v>
      </c>
      <c r="E134" s="11" t="s">
        <v>247</v>
      </c>
      <c r="F134" s="11" t="s">
        <v>84</v>
      </c>
      <c r="G134" s="8" t="s">
        <v>170</v>
      </c>
      <c r="H134" s="7"/>
      <c r="I134" s="8" t="s">
        <v>234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ht="11.5" x14ac:dyDescent="0.15">
      <c r="A135" s="7">
        <v>1617</v>
      </c>
      <c r="B135" s="7">
        <f t="shared" si="10"/>
        <v>11001010001</v>
      </c>
      <c r="C135" s="7" t="str">
        <f t="shared" si="9"/>
        <v>651</v>
      </c>
      <c r="D135" s="8" t="str">
        <f t="shared" si="11"/>
        <v>float</v>
      </c>
      <c r="E135" s="11" t="s">
        <v>248</v>
      </c>
      <c r="F135" s="11" t="s">
        <v>86</v>
      </c>
      <c r="G135" s="8"/>
      <c r="H135" s="7"/>
      <c r="I135" s="8" t="s">
        <v>234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ht="11.5" x14ac:dyDescent="0.15">
      <c r="A136" s="7">
        <v>1618</v>
      </c>
      <c r="B136" s="7">
        <f t="shared" si="10"/>
        <v>11001010010</v>
      </c>
      <c r="C136" s="7" t="str">
        <f t="shared" si="9"/>
        <v>652</v>
      </c>
      <c r="D136" s="8" t="str">
        <f t="shared" si="11"/>
        <v>float</v>
      </c>
      <c r="E136" s="11" t="s">
        <v>249</v>
      </c>
      <c r="F136" s="11" t="s">
        <v>88</v>
      </c>
      <c r="G136" s="8"/>
      <c r="H136" s="7"/>
      <c r="I136" s="8" t="s">
        <v>234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ht="11.5" x14ac:dyDescent="0.15">
      <c r="A137" s="7">
        <v>1619</v>
      </c>
      <c r="B137" s="7">
        <f t="shared" si="10"/>
        <v>11001010011</v>
      </c>
      <c r="C137" s="7" t="str">
        <f t="shared" si="9"/>
        <v>653</v>
      </c>
      <c r="D137" s="8" t="str">
        <f t="shared" si="11"/>
        <v>float</v>
      </c>
      <c r="E137" s="8" t="s">
        <v>250</v>
      </c>
      <c r="F137" s="8" t="s">
        <v>90</v>
      </c>
      <c r="G137" s="8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ht="11.5" x14ac:dyDescent="0.15">
      <c r="A138" s="7">
        <v>1620</v>
      </c>
      <c r="B138" s="7">
        <f t="shared" si="10"/>
        <v>11001010100</v>
      </c>
      <c r="C138" s="7" t="str">
        <f t="shared" si="9"/>
        <v>654</v>
      </c>
      <c r="D138" s="8" t="str">
        <f t="shared" si="11"/>
        <v>float</v>
      </c>
      <c r="E138" s="8"/>
      <c r="F138" s="8" t="s">
        <v>233</v>
      </c>
      <c r="G138" s="8"/>
      <c r="H138" s="7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ht="11.5" x14ac:dyDescent="0.15">
      <c r="A139" s="7">
        <v>1621</v>
      </c>
      <c r="B139" s="7">
        <f t="shared" si="10"/>
        <v>11001010101</v>
      </c>
      <c r="C139" s="7" t="str">
        <f t="shared" si="9"/>
        <v>655</v>
      </c>
      <c r="D139" s="8" t="str">
        <f t="shared" si="11"/>
        <v>float</v>
      </c>
      <c r="E139" s="8"/>
      <c r="F139" s="8" t="s">
        <v>91</v>
      </c>
      <c r="G139" s="8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ht="11.5" x14ac:dyDescent="0.15">
      <c r="A140" s="7">
        <v>1622</v>
      </c>
      <c r="B140" s="7">
        <f t="shared" si="10"/>
        <v>11001010110</v>
      </c>
      <c r="C140" s="7" t="str">
        <f t="shared" si="9"/>
        <v>656</v>
      </c>
      <c r="D140" s="8" t="str">
        <f t="shared" si="11"/>
        <v>float</v>
      </c>
      <c r="E140" s="8"/>
      <c r="F140" s="8" t="s">
        <v>91</v>
      </c>
      <c r="G140" s="8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ht="11.5" x14ac:dyDescent="0.15">
      <c r="A141" s="7">
        <v>1623</v>
      </c>
      <c r="B141" s="7">
        <f t="shared" si="10"/>
        <v>11001010111</v>
      </c>
      <c r="C141" s="7" t="str">
        <f t="shared" si="9"/>
        <v>657</v>
      </c>
      <c r="D141" s="8" t="str">
        <f t="shared" si="11"/>
        <v>float</v>
      </c>
      <c r="E141" s="8"/>
      <c r="F141" s="8" t="s">
        <v>91</v>
      </c>
      <c r="G141" s="8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ht="11.5" x14ac:dyDescent="0.15">
      <c r="A142" s="7">
        <v>1624</v>
      </c>
      <c r="B142" s="7">
        <f t="shared" si="10"/>
        <v>11001011000</v>
      </c>
      <c r="C142" s="7" t="str">
        <f t="shared" si="9"/>
        <v>658</v>
      </c>
      <c r="D142" s="8" t="str">
        <f t="shared" si="11"/>
        <v>float</v>
      </c>
      <c r="E142" s="8"/>
      <c r="F142" s="8" t="s">
        <v>172</v>
      </c>
      <c r="G142" s="8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ht="11.5" x14ac:dyDescent="0.15">
      <c r="A143" s="7">
        <v>1625</v>
      </c>
      <c r="B143" s="7">
        <f t="shared" si="10"/>
        <v>11001011001</v>
      </c>
      <c r="C143" s="7" t="str">
        <f>DEC2HEX(A143)</f>
        <v>659</v>
      </c>
      <c r="D143" s="8" t="str">
        <f t="shared" si="11"/>
        <v>float</v>
      </c>
      <c r="E143" s="8"/>
      <c r="F143" s="8" t="s">
        <v>173</v>
      </c>
      <c r="G143" s="8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ht="11.5" x14ac:dyDescent="0.15">
      <c r="A144" s="7">
        <v>1626</v>
      </c>
      <c r="B144" s="7">
        <f t="shared" si="10"/>
        <v>11001011010</v>
      </c>
      <c r="C144" s="7" t="str">
        <f t="shared" ref="C144:C158" si="12">DEC2HEX(A144)</f>
        <v>65A</v>
      </c>
      <c r="D144" s="8" t="str">
        <f t="shared" si="11"/>
        <v>float</v>
      </c>
      <c r="E144" s="8"/>
      <c r="F144" s="8" t="s">
        <v>228</v>
      </c>
      <c r="G144" s="8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ht="11.5" x14ac:dyDescent="0.15">
      <c r="A145" s="7">
        <v>1627</v>
      </c>
      <c r="B145" s="7">
        <f t="shared" si="10"/>
        <v>11001011011</v>
      </c>
      <c r="C145" s="7" t="str">
        <f t="shared" si="12"/>
        <v>65B</v>
      </c>
      <c r="D145" s="8" t="str">
        <f t="shared" si="11"/>
        <v>float</v>
      </c>
      <c r="E145" s="8"/>
      <c r="F145" s="8" t="s">
        <v>229</v>
      </c>
      <c r="G145" s="8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ht="11.5" x14ac:dyDescent="0.15">
      <c r="A146" s="7">
        <v>1628</v>
      </c>
      <c r="B146" s="7">
        <f t="shared" si="10"/>
        <v>11001011100</v>
      </c>
      <c r="C146" s="7" t="str">
        <f t="shared" si="12"/>
        <v>65C</v>
      </c>
      <c r="D146" s="8" t="str">
        <f t="shared" si="11"/>
        <v>float</v>
      </c>
      <c r="E146" s="8"/>
      <c r="F146" s="8" t="s">
        <v>94</v>
      </c>
      <c r="G146" s="8"/>
      <c r="H146" s="7"/>
      <c r="I146" s="11"/>
      <c r="J146" s="1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ht="11.5" x14ac:dyDescent="0.15">
      <c r="A147" s="7">
        <v>1629</v>
      </c>
      <c r="B147" s="7">
        <f t="shared" si="10"/>
        <v>11001011101</v>
      </c>
      <c r="C147" s="7" t="str">
        <f t="shared" si="12"/>
        <v>65D</v>
      </c>
      <c r="D147" s="8" t="str">
        <f t="shared" si="11"/>
        <v>float</v>
      </c>
      <c r="E147" s="8"/>
      <c r="F147" s="8" t="s">
        <v>94</v>
      </c>
      <c r="G147" s="8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ht="11.5" x14ac:dyDescent="0.15">
      <c r="A148" s="7">
        <v>1630</v>
      </c>
      <c r="B148" s="7">
        <f t="shared" si="10"/>
        <v>11001011110</v>
      </c>
      <c r="C148" s="7" t="str">
        <f t="shared" si="12"/>
        <v>65E</v>
      </c>
      <c r="D148" s="8" t="str">
        <f t="shared" si="11"/>
        <v>float</v>
      </c>
      <c r="E148" s="8"/>
      <c r="F148" s="8" t="s">
        <v>94</v>
      </c>
      <c r="G148" s="8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ht="11.5" x14ac:dyDescent="0.15">
      <c r="A149" s="7">
        <v>1631</v>
      </c>
      <c r="B149" s="7">
        <f t="shared" si="10"/>
        <v>11001011111</v>
      </c>
      <c r="C149" s="7" t="str">
        <f t="shared" si="12"/>
        <v>65F</v>
      </c>
      <c r="D149" s="8" t="str">
        <f t="shared" si="11"/>
        <v>float</v>
      </c>
      <c r="E149" s="8"/>
      <c r="F149" s="8" t="s">
        <v>94</v>
      </c>
      <c r="G149" s="8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ht="11.5" x14ac:dyDescent="0.15">
      <c r="A150" s="7">
        <v>1632</v>
      </c>
      <c r="B150" s="7">
        <f t="shared" ref="B150:B165" si="13">DEC2BIN(A150/512)*1000000000+DEC2BIN(MOD(A150,512))</f>
        <v>11001100000</v>
      </c>
      <c r="C150" s="7" t="str">
        <f t="shared" si="12"/>
        <v>660</v>
      </c>
      <c r="D150" s="8" t="str">
        <f t="shared" ref="D150:D165" si="14">IF(A150=0,"-", IF(A150&lt;1024,"文字列",IF(A150&lt;1280,"uint32_t",IF(A150&lt;1536,"uint16_t",IF(A150&lt;1792,"float","fp16")))))</f>
        <v>float</v>
      </c>
      <c r="E150" s="11" t="s">
        <v>251</v>
      </c>
      <c r="F150" s="11" t="s">
        <v>84</v>
      </c>
      <c r="G150" s="8" t="s">
        <v>297</v>
      </c>
      <c r="H150" s="7">
        <v>10</v>
      </c>
      <c r="I150" s="8" t="s">
        <v>346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ht="11.5" x14ac:dyDescent="0.15">
      <c r="A151" s="7">
        <v>1633</v>
      </c>
      <c r="B151" s="7">
        <f t="shared" si="13"/>
        <v>11001100001</v>
      </c>
      <c r="C151" s="7" t="str">
        <f t="shared" si="12"/>
        <v>661</v>
      </c>
      <c r="D151" s="8" t="str">
        <f t="shared" si="14"/>
        <v>float</v>
      </c>
      <c r="E151" s="11" t="s">
        <v>252</v>
      </c>
      <c r="F151" s="11" t="s">
        <v>86</v>
      </c>
      <c r="G151" s="8"/>
      <c r="H151" s="7">
        <v>10</v>
      </c>
      <c r="I151" s="8" t="s">
        <v>346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ht="11.5" x14ac:dyDescent="0.15">
      <c r="A152" s="7">
        <v>1634</v>
      </c>
      <c r="B152" s="7">
        <f t="shared" si="13"/>
        <v>11001100010</v>
      </c>
      <c r="C152" s="7" t="str">
        <f t="shared" si="12"/>
        <v>662</v>
      </c>
      <c r="D152" s="8" t="str">
        <f t="shared" si="14"/>
        <v>float</v>
      </c>
      <c r="E152" s="11" t="s">
        <v>253</v>
      </c>
      <c r="F152" s="11" t="s">
        <v>88</v>
      </c>
      <c r="G152" s="8"/>
      <c r="H152" s="7">
        <v>10</v>
      </c>
      <c r="I152" s="8" t="s">
        <v>346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ht="11.5" x14ac:dyDescent="0.15">
      <c r="A153" s="7">
        <v>1635</v>
      </c>
      <c r="B153" s="7">
        <f t="shared" si="13"/>
        <v>11001100011</v>
      </c>
      <c r="C153" s="7" t="str">
        <f t="shared" si="12"/>
        <v>663</v>
      </c>
      <c r="D153" s="8" t="str">
        <f t="shared" si="14"/>
        <v>float</v>
      </c>
      <c r="E153" s="8" t="s">
        <v>254</v>
      </c>
      <c r="F153" s="8" t="s">
        <v>90</v>
      </c>
      <c r="G153" s="8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ht="11.5" x14ac:dyDescent="0.15">
      <c r="A154" s="7">
        <v>1636</v>
      </c>
      <c r="B154" s="7">
        <f t="shared" si="13"/>
        <v>11001100100</v>
      </c>
      <c r="C154" s="7" t="str">
        <f t="shared" si="12"/>
        <v>664</v>
      </c>
      <c r="D154" s="8" t="str">
        <f t="shared" si="14"/>
        <v>float</v>
      </c>
      <c r="E154" s="8"/>
      <c r="F154" s="8" t="s">
        <v>233</v>
      </c>
      <c r="G154" s="8"/>
      <c r="H154" s="7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ht="11.5" x14ac:dyDescent="0.15">
      <c r="A155" s="7">
        <v>1637</v>
      </c>
      <c r="B155" s="7">
        <f t="shared" si="13"/>
        <v>11001100101</v>
      </c>
      <c r="C155" s="7" t="str">
        <f t="shared" si="12"/>
        <v>665</v>
      </c>
      <c r="D155" s="8" t="str">
        <f t="shared" si="14"/>
        <v>float</v>
      </c>
      <c r="E155" s="8"/>
      <c r="F155" s="8" t="s">
        <v>91</v>
      </c>
      <c r="G155" s="8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ht="11.5" x14ac:dyDescent="0.15">
      <c r="A156" s="7">
        <v>1638</v>
      </c>
      <c r="B156" s="7">
        <f t="shared" si="13"/>
        <v>11001100110</v>
      </c>
      <c r="C156" s="7" t="str">
        <f t="shared" si="12"/>
        <v>666</v>
      </c>
      <c r="D156" s="8" t="str">
        <f t="shared" si="14"/>
        <v>float</v>
      </c>
      <c r="E156" s="8"/>
      <c r="F156" s="8" t="s">
        <v>91</v>
      </c>
      <c r="G156" s="8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ht="11.5" x14ac:dyDescent="0.15">
      <c r="A157" s="7">
        <v>1639</v>
      </c>
      <c r="B157" s="7">
        <f t="shared" si="13"/>
        <v>11001100111</v>
      </c>
      <c r="C157" s="7" t="str">
        <f t="shared" si="12"/>
        <v>667</v>
      </c>
      <c r="D157" s="8" t="str">
        <f t="shared" si="14"/>
        <v>float</v>
      </c>
      <c r="E157" s="8"/>
      <c r="F157" s="8" t="s">
        <v>91</v>
      </c>
      <c r="G157" s="8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ht="11.5" x14ac:dyDescent="0.15">
      <c r="A158" s="7">
        <v>1640</v>
      </c>
      <c r="B158" s="7">
        <f t="shared" si="13"/>
        <v>11001101000</v>
      </c>
      <c r="C158" s="7" t="str">
        <f t="shared" si="12"/>
        <v>668</v>
      </c>
      <c r="D158" s="8" t="str">
        <f t="shared" si="14"/>
        <v>float</v>
      </c>
      <c r="E158" s="8"/>
      <c r="F158" s="8" t="s">
        <v>172</v>
      </c>
      <c r="G158" s="8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ht="11.5" x14ac:dyDescent="0.15">
      <c r="A159" s="7">
        <v>1641</v>
      </c>
      <c r="B159" s="7">
        <f t="shared" si="13"/>
        <v>11001101001</v>
      </c>
      <c r="C159" s="7" t="str">
        <f>DEC2HEX(A159)</f>
        <v>669</v>
      </c>
      <c r="D159" s="8" t="str">
        <f t="shared" si="14"/>
        <v>float</v>
      </c>
      <c r="E159" s="8"/>
      <c r="F159" s="8" t="s">
        <v>173</v>
      </c>
      <c r="G159" s="8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ht="11.5" x14ac:dyDescent="0.15">
      <c r="A160" s="7">
        <v>1642</v>
      </c>
      <c r="B160" s="7">
        <f t="shared" si="13"/>
        <v>11001101010</v>
      </c>
      <c r="C160" s="7" t="str">
        <f t="shared" ref="C160:C174" si="15">DEC2HEX(A160)</f>
        <v>66A</v>
      </c>
      <c r="D160" s="8" t="str">
        <f t="shared" si="14"/>
        <v>float</v>
      </c>
      <c r="E160" s="8"/>
      <c r="F160" s="8" t="s">
        <v>228</v>
      </c>
      <c r="G160" s="8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ht="11.5" x14ac:dyDescent="0.15">
      <c r="A161" s="7">
        <v>1643</v>
      </c>
      <c r="B161" s="7">
        <f t="shared" si="13"/>
        <v>11001101011</v>
      </c>
      <c r="C161" s="7" t="str">
        <f t="shared" si="15"/>
        <v>66B</v>
      </c>
      <c r="D161" s="8" t="str">
        <f t="shared" si="14"/>
        <v>float</v>
      </c>
      <c r="E161" s="8"/>
      <c r="F161" s="8" t="s">
        <v>229</v>
      </c>
      <c r="G161" s="8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ht="11.5" x14ac:dyDescent="0.15">
      <c r="A162" s="7">
        <v>1644</v>
      </c>
      <c r="B162" s="7">
        <f t="shared" si="13"/>
        <v>11001101100</v>
      </c>
      <c r="C162" s="7" t="str">
        <f t="shared" si="15"/>
        <v>66C</v>
      </c>
      <c r="D162" s="8" t="str">
        <f t="shared" si="14"/>
        <v>float</v>
      </c>
      <c r="E162" s="8"/>
      <c r="F162" s="8" t="s">
        <v>94</v>
      </c>
      <c r="G162" s="8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ht="11.5" x14ac:dyDescent="0.15">
      <c r="A163" s="7">
        <v>1645</v>
      </c>
      <c r="B163" s="7">
        <f t="shared" si="13"/>
        <v>11001101101</v>
      </c>
      <c r="C163" s="7" t="str">
        <f t="shared" si="15"/>
        <v>66D</v>
      </c>
      <c r="D163" s="8" t="str">
        <f t="shared" si="14"/>
        <v>float</v>
      </c>
      <c r="E163" s="8"/>
      <c r="F163" s="8" t="s">
        <v>94</v>
      </c>
      <c r="G163" s="8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ht="11.5" x14ac:dyDescent="0.15">
      <c r="A164" s="7">
        <v>1646</v>
      </c>
      <c r="B164" s="7">
        <f t="shared" si="13"/>
        <v>11001101110</v>
      </c>
      <c r="C164" s="7" t="str">
        <f t="shared" si="15"/>
        <v>66E</v>
      </c>
      <c r="D164" s="8" t="str">
        <f t="shared" si="14"/>
        <v>float</v>
      </c>
      <c r="E164" s="8"/>
      <c r="F164" s="8" t="s">
        <v>94</v>
      </c>
      <c r="G164" s="8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ht="11.5" x14ac:dyDescent="0.15">
      <c r="A165" s="7">
        <v>1647</v>
      </c>
      <c r="B165" s="7">
        <f t="shared" si="13"/>
        <v>11001101111</v>
      </c>
      <c r="C165" s="7" t="str">
        <f t="shared" si="15"/>
        <v>66F</v>
      </c>
      <c r="D165" s="8" t="str">
        <f t="shared" si="14"/>
        <v>float</v>
      </c>
      <c r="E165" s="8"/>
      <c r="F165" s="8" t="s">
        <v>94</v>
      </c>
      <c r="G165" s="8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ht="11.5" x14ac:dyDescent="0.15">
      <c r="A166" s="7">
        <v>1648</v>
      </c>
      <c r="B166" s="7">
        <f t="shared" ref="B166:B181" si="16">DEC2BIN(A166/512)*1000000000+DEC2BIN(MOD(A166,512))</f>
        <v>11001110000</v>
      </c>
      <c r="C166" s="7" t="str">
        <f t="shared" si="15"/>
        <v>670</v>
      </c>
      <c r="D166" s="8" t="str">
        <f t="shared" ref="D166:D181" si="17">IF(A166=0,"-", IF(A166&lt;1024,"文字列",IF(A166&lt;1280,"uint32_t",IF(A166&lt;1536,"uint16_t",IF(A166&lt;1792,"float","fp16")))))</f>
        <v>float</v>
      </c>
      <c r="E166" s="8"/>
      <c r="F166" s="11" t="s">
        <v>84</v>
      </c>
      <c r="G166" s="8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ht="11.5" x14ac:dyDescent="0.15">
      <c r="A167" s="7">
        <v>1649</v>
      </c>
      <c r="B167" s="7">
        <f t="shared" si="16"/>
        <v>11001110001</v>
      </c>
      <c r="C167" s="7" t="str">
        <f t="shared" si="15"/>
        <v>671</v>
      </c>
      <c r="D167" s="8" t="str">
        <f t="shared" si="17"/>
        <v>float</v>
      </c>
      <c r="E167" s="8"/>
      <c r="F167" s="11" t="s">
        <v>86</v>
      </c>
      <c r="G167" s="8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ht="11.5" x14ac:dyDescent="0.15">
      <c r="A168" s="7">
        <v>1650</v>
      </c>
      <c r="B168" s="7">
        <f t="shared" si="16"/>
        <v>11001110010</v>
      </c>
      <c r="C168" s="7" t="str">
        <f t="shared" si="15"/>
        <v>672</v>
      </c>
      <c r="D168" s="8" t="str">
        <f t="shared" si="17"/>
        <v>float</v>
      </c>
      <c r="E168" s="8"/>
      <c r="F168" s="11" t="s">
        <v>88</v>
      </c>
      <c r="G168" s="8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ht="11.5" x14ac:dyDescent="0.15">
      <c r="A169" s="7">
        <v>1651</v>
      </c>
      <c r="B169" s="7">
        <f t="shared" si="16"/>
        <v>11001110011</v>
      </c>
      <c r="C169" s="7" t="str">
        <f t="shared" si="15"/>
        <v>673</v>
      </c>
      <c r="D169" s="8" t="str">
        <f t="shared" si="17"/>
        <v>float</v>
      </c>
      <c r="E169" s="8"/>
      <c r="F169" s="8" t="s">
        <v>90</v>
      </c>
      <c r="G169" s="8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ht="11.5" x14ac:dyDescent="0.15">
      <c r="A170" s="7">
        <v>1652</v>
      </c>
      <c r="B170" s="7">
        <f t="shared" si="16"/>
        <v>11001110100</v>
      </c>
      <c r="C170" s="7" t="str">
        <f t="shared" si="15"/>
        <v>674</v>
      </c>
      <c r="D170" s="8" t="str">
        <f t="shared" si="17"/>
        <v>float</v>
      </c>
      <c r="E170" s="9" t="s">
        <v>361</v>
      </c>
      <c r="F170" s="9" t="s">
        <v>359</v>
      </c>
      <c r="G170" s="8"/>
      <c r="H170" s="7"/>
      <c r="I170" s="8" t="s">
        <v>360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ht="11.5" x14ac:dyDescent="0.15">
      <c r="A171" s="7">
        <v>1653</v>
      </c>
      <c r="B171" s="7">
        <f t="shared" si="16"/>
        <v>11001110101</v>
      </c>
      <c r="C171" s="7" t="str">
        <f t="shared" si="15"/>
        <v>675</v>
      </c>
      <c r="D171" s="8" t="str">
        <f t="shared" si="17"/>
        <v>float</v>
      </c>
      <c r="E171" s="9" t="s">
        <v>362</v>
      </c>
      <c r="F171" s="9" t="s">
        <v>359</v>
      </c>
      <c r="G171" s="8"/>
      <c r="H171" s="7"/>
      <c r="I171" s="8" t="s">
        <v>360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ht="11.5" x14ac:dyDescent="0.15">
      <c r="A172" s="7">
        <v>1654</v>
      </c>
      <c r="B172" s="7">
        <f t="shared" si="16"/>
        <v>11001110110</v>
      </c>
      <c r="C172" s="7" t="str">
        <f t="shared" si="15"/>
        <v>676</v>
      </c>
      <c r="D172" s="8" t="str">
        <f t="shared" si="17"/>
        <v>float</v>
      </c>
      <c r="E172" s="9" t="s">
        <v>363</v>
      </c>
      <c r="F172" s="9" t="s">
        <v>359</v>
      </c>
      <c r="G172" s="8"/>
      <c r="H172" s="7"/>
      <c r="I172" s="8" t="s">
        <v>360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ht="11.5" x14ac:dyDescent="0.15">
      <c r="A173" s="7">
        <v>1655</v>
      </c>
      <c r="B173" s="7">
        <f t="shared" si="16"/>
        <v>11001110111</v>
      </c>
      <c r="C173" s="7" t="str">
        <f t="shared" si="15"/>
        <v>677</v>
      </c>
      <c r="D173" s="8" t="str">
        <f t="shared" si="17"/>
        <v>float</v>
      </c>
      <c r="E173" s="9" t="s">
        <v>364</v>
      </c>
      <c r="F173" s="9" t="s">
        <v>359</v>
      </c>
      <c r="G173" s="8"/>
      <c r="H173" s="7"/>
      <c r="I173" s="8" t="s">
        <v>360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ht="11.5" x14ac:dyDescent="0.15">
      <c r="A174" s="7">
        <v>1656</v>
      </c>
      <c r="B174" s="7">
        <f t="shared" si="16"/>
        <v>11001111000</v>
      </c>
      <c r="C174" s="7" t="str">
        <f t="shared" si="15"/>
        <v>678</v>
      </c>
      <c r="D174" s="8" t="str">
        <f t="shared" si="17"/>
        <v>float</v>
      </c>
      <c r="E174" s="8"/>
      <c r="F174" s="8" t="s">
        <v>172</v>
      </c>
      <c r="G174" s="8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ht="11.5" x14ac:dyDescent="0.15">
      <c r="A175" s="7">
        <v>1657</v>
      </c>
      <c r="B175" s="7">
        <f t="shared" si="16"/>
        <v>11001111001</v>
      </c>
      <c r="C175" s="7" t="str">
        <f>DEC2HEX(A175)</f>
        <v>679</v>
      </c>
      <c r="D175" s="8" t="str">
        <f t="shared" si="17"/>
        <v>float</v>
      </c>
      <c r="E175" s="8"/>
      <c r="F175" s="8" t="s">
        <v>173</v>
      </c>
      <c r="G175" s="8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ht="11.5" x14ac:dyDescent="0.15">
      <c r="A176" s="7">
        <v>1658</v>
      </c>
      <c r="B176" s="7">
        <f t="shared" si="16"/>
        <v>11001111010</v>
      </c>
      <c r="C176" s="7" t="str">
        <f t="shared" ref="C176:C181" si="18">DEC2HEX(A176)</f>
        <v>67A</v>
      </c>
      <c r="D176" s="8" t="str">
        <f t="shared" si="17"/>
        <v>float</v>
      </c>
      <c r="E176" s="8"/>
      <c r="F176" s="8" t="s">
        <v>228</v>
      </c>
      <c r="G176" s="8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ht="11.5" x14ac:dyDescent="0.15">
      <c r="A177" s="7">
        <v>1659</v>
      </c>
      <c r="B177" s="7">
        <f t="shared" si="16"/>
        <v>11001111011</v>
      </c>
      <c r="C177" s="7" t="str">
        <f t="shared" si="18"/>
        <v>67B</v>
      </c>
      <c r="D177" s="8" t="str">
        <f t="shared" si="17"/>
        <v>float</v>
      </c>
      <c r="E177" s="8"/>
      <c r="F177" s="8" t="s">
        <v>229</v>
      </c>
      <c r="G177" s="8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ht="11.5" x14ac:dyDescent="0.15">
      <c r="A178" s="7">
        <v>1660</v>
      </c>
      <c r="B178" s="7">
        <f t="shared" si="16"/>
        <v>11001111100</v>
      </c>
      <c r="C178" s="7" t="str">
        <f t="shared" si="18"/>
        <v>67C</v>
      </c>
      <c r="D178" s="8" t="str">
        <f t="shared" si="17"/>
        <v>float</v>
      </c>
      <c r="E178" s="8"/>
      <c r="F178" s="8" t="s">
        <v>94</v>
      </c>
      <c r="G178" s="8"/>
      <c r="H178" s="7"/>
      <c r="I178" s="11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ht="11.5" x14ac:dyDescent="0.15">
      <c r="A179" s="7">
        <v>1661</v>
      </c>
      <c r="B179" s="7">
        <f t="shared" si="16"/>
        <v>11001111101</v>
      </c>
      <c r="C179" s="7" t="str">
        <f t="shared" si="18"/>
        <v>67D</v>
      </c>
      <c r="D179" s="8" t="str">
        <f t="shared" si="17"/>
        <v>float</v>
      </c>
      <c r="E179" s="8"/>
      <c r="F179" s="8" t="s">
        <v>94</v>
      </c>
      <c r="G179" s="8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ht="11.5" x14ac:dyDescent="0.15">
      <c r="A180" s="7">
        <v>1662</v>
      </c>
      <c r="B180" s="7">
        <f t="shared" si="16"/>
        <v>11001111110</v>
      </c>
      <c r="C180" s="7" t="str">
        <f t="shared" si="18"/>
        <v>67E</v>
      </c>
      <c r="D180" s="8" t="str">
        <f t="shared" si="17"/>
        <v>float</v>
      </c>
      <c r="E180" s="8"/>
      <c r="F180" s="8" t="s">
        <v>94</v>
      </c>
      <c r="G180" s="8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ht="11.5" x14ac:dyDescent="0.15">
      <c r="A181" s="7">
        <v>1663</v>
      </c>
      <c r="B181" s="7">
        <f t="shared" si="16"/>
        <v>11001111111</v>
      </c>
      <c r="C181" s="7" t="str">
        <f t="shared" si="18"/>
        <v>67F</v>
      </c>
      <c r="D181" s="8" t="str">
        <f t="shared" si="17"/>
        <v>float</v>
      </c>
      <c r="E181" s="8"/>
      <c r="F181" s="8" t="s">
        <v>94</v>
      </c>
      <c r="G181" s="8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ht="11.5" x14ac:dyDescent="0.15">
      <c r="A182" s="7">
        <v>0</v>
      </c>
      <c r="B182" s="7">
        <f t="shared" si="0"/>
        <v>0</v>
      </c>
      <c r="C182" s="7" t="str">
        <f t="shared" si="1"/>
        <v>0</v>
      </c>
      <c r="D182" s="8" t="str">
        <f t="shared" si="2"/>
        <v>-</v>
      </c>
      <c r="E182" s="8"/>
      <c r="F182" s="8"/>
      <c r="G182" s="8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ht="11.5" x14ac:dyDescent="0.15">
      <c r="A183" s="7">
        <v>1791</v>
      </c>
      <c r="B183" s="7">
        <f t="shared" si="0"/>
        <v>11011111111</v>
      </c>
      <c r="C183" s="7" t="str">
        <f t="shared" si="1"/>
        <v>6FF</v>
      </c>
      <c r="D183" s="8" t="str">
        <f t="shared" si="2"/>
        <v>float</v>
      </c>
      <c r="E183" s="8"/>
      <c r="F183" s="8"/>
      <c r="G183" s="8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ht="11.5" x14ac:dyDescent="0.15">
      <c r="A184" s="7">
        <v>1792</v>
      </c>
      <c r="B184" s="7">
        <f t="shared" si="0"/>
        <v>11100000000</v>
      </c>
      <c r="C184" s="7" t="str">
        <f t="shared" si="1"/>
        <v>700</v>
      </c>
      <c r="D184" s="8" t="str">
        <f t="shared" si="2"/>
        <v>fp16</v>
      </c>
      <c r="E184" s="8"/>
      <c r="F184" s="8"/>
      <c r="G184" s="8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ht="11.5" x14ac:dyDescent="0.15">
      <c r="A185" s="7">
        <v>0</v>
      </c>
      <c r="B185" s="7">
        <f t="shared" si="0"/>
        <v>0</v>
      </c>
      <c r="C185" s="7" t="str">
        <f t="shared" si="1"/>
        <v>0</v>
      </c>
      <c r="D185" s="8" t="str">
        <f t="shared" si="2"/>
        <v>-</v>
      </c>
      <c r="E185" s="8"/>
      <c r="F185" s="8"/>
      <c r="G185" s="8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ht="11.5" x14ac:dyDescent="0.15">
      <c r="A186" s="7">
        <v>1824</v>
      </c>
      <c r="B186" s="7">
        <f t="shared" si="0"/>
        <v>11100100000</v>
      </c>
      <c r="C186" s="7" t="str">
        <f t="shared" si="1"/>
        <v>720</v>
      </c>
      <c r="D186" s="8" t="str">
        <f t="shared" si="2"/>
        <v>fp16</v>
      </c>
      <c r="E186" s="8" t="s">
        <v>177</v>
      </c>
      <c r="F186" s="8" t="s">
        <v>101</v>
      </c>
      <c r="G186" s="8" t="s">
        <v>102</v>
      </c>
      <c r="H186" s="7">
        <v>100</v>
      </c>
      <c r="I186" s="8" t="s">
        <v>10</v>
      </c>
      <c r="J186" s="8" t="s">
        <v>304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ht="11.5" x14ac:dyDescent="0.15">
      <c r="A187" s="7">
        <v>1825</v>
      </c>
      <c r="B187" s="7">
        <f t="shared" si="0"/>
        <v>11100100001</v>
      </c>
      <c r="C187" s="7" t="str">
        <f t="shared" si="1"/>
        <v>721</v>
      </c>
      <c r="D187" s="8" t="str">
        <f t="shared" si="2"/>
        <v>fp16</v>
      </c>
      <c r="E187" s="8" t="s">
        <v>388</v>
      </c>
      <c r="F187" s="8"/>
      <c r="G187" s="8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ht="11.5" x14ac:dyDescent="0.15">
      <c r="A188" s="7">
        <v>1826</v>
      </c>
      <c r="B188" s="7">
        <f t="shared" si="0"/>
        <v>11100100010</v>
      </c>
      <c r="C188" s="7" t="str">
        <f t="shared" si="1"/>
        <v>722</v>
      </c>
      <c r="D188" s="8" t="str">
        <f t="shared" si="2"/>
        <v>fp16</v>
      </c>
      <c r="E188" s="8" t="s">
        <v>180</v>
      </c>
      <c r="F188" s="8" t="s">
        <v>104</v>
      </c>
      <c r="G188" s="8"/>
      <c r="H188" s="7">
        <v>100</v>
      </c>
      <c r="I188" s="8" t="s">
        <v>10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ht="11.5" x14ac:dyDescent="0.15">
      <c r="A189" s="7">
        <v>1827</v>
      </c>
      <c r="B189" s="7">
        <f t="shared" si="0"/>
        <v>11100100011</v>
      </c>
      <c r="C189" s="7" t="str">
        <f t="shared" si="1"/>
        <v>723</v>
      </c>
      <c r="D189" s="8" t="str">
        <f t="shared" si="2"/>
        <v>fp16</v>
      </c>
      <c r="E189" s="8"/>
      <c r="F189" s="8"/>
      <c r="G189" s="8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ht="11.5" x14ac:dyDescent="0.15">
      <c r="A190" s="7">
        <v>1828</v>
      </c>
      <c r="B190" s="7">
        <f t="shared" si="0"/>
        <v>11100100100</v>
      </c>
      <c r="C190" s="7" t="str">
        <f t="shared" si="1"/>
        <v>724</v>
      </c>
      <c r="D190" s="8" t="str">
        <f t="shared" si="2"/>
        <v>fp16</v>
      </c>
      <c r="E190" s="8" t="s">
        <v>182</v>
      </c>
      <c r="F190" s="8" t="s">
        <v>106</v>
      </c>
      <c r="G190" s="8"/>
      <c r="H190" s="7">
        <v>100</v>
      </c>
      <c r="I190" s="8" t="s">
        <v>10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ht="11.5" x14ac:dyDescent="0.15">
      <c r="A191" s="7">
        <v>1829</v>
      </c>
      <c r="B191" s="7">
        <f t="shared" si="0"/>
        <v>11100100101</v>
      </c>
      <c r="C191" s="7" t="str">
        <f t="shared" si="1"/>
        <v>725</v>
      </c>
      <c r="D191" s="8" t="str">
        <f t="shared" si="2"/>
        <v>fp16</v>
      </c>
      <c r="E191" s="8"/>
      <c r="F191" s="8"/>
      <c r="G191" s="8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ht="11.5" x14ac:dyDescent="0.15">
      <c r="A192" s="7">
        <v>1830</v>
      </c>
      <c r="B192" s="7">
        <f t="shared" si="0"/>
        <v>11100100110</v>
      </c>
      <c r="C192" s="7" t="str">
        <f t="shared" si="1"/>
        <v>726</v>
      </c>
      <c r="D192" s="8" t="str">
        <f t="shared" si="2"/>
        <v>fp16</v>
      </c>
      <c r="E192" s="8" t="s">
        <v>184</v>
      </c>
      <c r="F192" s="8" t="s">
        <v>108</v>
      </c>
      <c r="G192" s="8"/>
      <c r="H192" s="7">
        <v>100</v>
      </c>
      <c r="I192" s="8" t="s">
        <v>10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ht="11.5" x14ac:dyDescent="0.15">
      <c r="A193" s="7">
        <v>1831</v>
      </c>
      <c r="B193" s="7">
        <f t="shared" si="0"/>
        <v>11100100111</v>
      </c>
      <c r="C193" s="7" t="str">
        <f t="shared" si="1"/>
        <v>727</v>
      </c>
      <c r="D193" s="8" t="str">
        <f t="shared" si="2"/>
        <v>fp16</v>
      </c>
      <c r="E193" s="8"/>
      <c r="F193" s="8"/>
      <c r="G193" s="8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ht="11.5" x14ac:dyDescent="0.15">
      <c r="A194" s="7">
        <v>1832</v>
      </c>
      <c r="B194" s="7">
        <f t="shared" si="0"/>
        <v>11100101000</v>
      </c>
      <c r="C194" s="7" t="str">
        <f t="shared" si="1"/>
        <v>728</v>
      </c>
      <c r="D194" s="8" t="str">
        <f t="shared" si="2"/>
        <v>fp16</v>
      </c>
      <c r="E194" s="8"/>
      <c r="F194" s="8" t="s">
        <v>109</v>
      </c>
      <c r="G194" s="8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ht="11.5" x14ac:dyDescent="0.15">
      <c r="A195" s="7">
        <v>1833</v>
      </c>
      <c r="B195" s="7">
        <f t="shared" si="0"/>
        <v>11100101001</v>
      </c>
      <c r="C195" s="7" t="str">
        <f t="shared" si="1"/>
        <v>729</v>
      </c>
      <c r="D195" s="8" t="str">
        <f t="shared" si="2"/>
        <v>fp16</v>
      </c>
      <c r="E195" s="8"/>
      <c r="F195" s="8"/>
      <c r="G195" s="8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ht="11.5" x14ac:dyDescent="0.15">
      <c r="A196" s="7">
        <v>1834</v>
      </c>
      <c r="B196" s="7">
        <f t="shared" si="0"/>
        <v>11100101010</v>
      </c>
      <c r="C196" s="7" t="str">
        <f t="shared" si="1"/>
        <v>72A</v>
      </c>
      <c r="D196" s="8" t="str">
        <f t="shared" si="2"/>
        <v>fp16</v>
      </c>
      <c r="E196" s="8"/>
      <c r="F196" s="8"/>
      <c r="G196" s="8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ht="11.5" x14ac:dyDescent="0.15">
      <c r="A197" s="7">
        <v>1835</v>
      </c>
      <c r="B197" s="7">
        <f t="shared" si="0"/>
        <v>11100101011</v>
      </c>
      <c r="C197" s="7" t="str">
        <f t="shared" si="1"/>
        <v>72B</v>
      </c>
      <c r="D197" s="8" t="str">
        <f t="shared" si="2"/>
        <v>fp16</v>
      </c>
      <c r="E197" s="8"/>
      <c r="F197" s="8"/>
      <c r="G197" s="8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ht="11.5" x14ac:dyDescent="0.15">
      <c r="A198" s="7">
        <v>1836</v>
      </c>
      <c r="B198" s="7">
        <f t="shared" si="0"/>
        <v>11100101100</v>
      </c>
      <c r="C198" s="7" t="str">
        <f t="shared" si="1"/>
        <v>72C</v>
      </c>
      <c r="D198" s="8" t="str">
        <f t="shared" si="2"/>
        <v>fp16</v>
      </c>
      <c r="E198" s="8"/>
      <c r="F198" s="8"/>
      <c r="G198" s="8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ht="11.5" x14ac:dyDescent="0.15">
      <c r="A199" s="7">
        <v>1837</v>
      </c>
      <c r="B199" s="7">
        <f t="shared" si="0"/>
        <v>11100101101</v>
      </c>
      <c r="C199" s="7" t="str">
        <f t="shared" si="1"/>
        <v>72D</v>
      </c>
      <c r="D199" s="8" t="str">
        <f t="shared" si="2"/>
        <v>fp16</v>
      </c>
      <c r="E199" s="8"/>
      <c r="F199" s="8"/>
      <c r="G199" s="8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ht="11.5" x14ac:dyDescent="0.15">
      <c r="A200" s="7">
        <v>1838</v>
      </c>
      <c r="B200" s="7">
        <f t="shared" si="0"/>
        <v>11100101110</v>
      </c>
      <c r="C200" s="7" t="str">
        <f t="shared" si="1"/>
        <v>72E</v>
      </c>
      <c r="D200" s="8" t="str">
        <f t="shared" si="2"/>
        <v>fp16</v>
      </c>
      <c r="E200" s="8"/>
      <c r="F200" s="8"/>
      <c r="G200" s="8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ht="11.5" x14ac:dyDescent="0.15">
      <c r="A201" s="7">
        <v>1839</v>
      </c>
      <c r="B201" s="7">
        <f t="shared" si="0"/>
        <v>11100101111</v>
      </c>
      <c r="C201" s="7" t="str">
        <f t="shared" si="1"/>
        <v>72F</v>
      </c>
      <c r="D201" s="8" t="str">
        <f t="shared" si="2"/>
        <v>fp16</v>
      </c>
      <c r="E201" s="8"/>
      <c r="F201" s="8"/>
      <c r="G201" s="8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ht="11.5" x14ac:dyDescent="0.15">
      <c r="A202" s="7">
        <v>1840</v>
      </c>
      <c r="B202" s="7">
        <f t="shared" si="0"/>
        <v>11100110000</v>
      </c>
      <c r="C202" s="7" t="str">
        <f t="shared" si="1"/>
        <v>730</v>
      </c>
      <c r="D202" s="8" t="str">
        <f t="shared" si="2"/>
        <v>fp16</v>
      </c>
      <c r="E202" s="8" t="s">
        <v>178</v>
      </c>
      <c r="F202" s="8" t="s">
        <v>175</v>
      </c>
      <c r="G202" s="8" t="s">
        <v>262</v>
      </c>
      <c r="H202" s="7">
        <v>100</v>
      </c>
      <c r="I202" s="8" t="s">
        <v>347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ht="11.5" x14ac:dyDescent="0.15">
      <c r="A203" s="7">
        <v>1841</v>
      </c>
      <c r="B203" s="7">
        <f t="shared" si="0"/>
        <v>11100110001</v>
      </c>
      <c r="C203" s="7" t="str">
        <f t="shared" si="1"/>
        <v>731</v>
      </c>
      <c r="D203" s="8" t="str">
        <f t="shared" si="2"/>
        <v>fp16</v>
      </c>
      <c r="E203" s="8" t="s">
        <v>179</v>
      </c>
      <c r="F203" s="8" t="s">
        <v>176</v>
      </c>
      <c r="G203" s="8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ht="11.5" x14ac:dyDescent="0.15">
      <c r="A204" s="7">
        <v>1842</v>
      </c>
      <c r="B204" s="7">
        <f t="shared" si="0"/>
        <v>11100110010</v>
      </c>
      <c r="C204" s="7" t="str">
        <f t="shared" si="1"/>
        <v>732</v>
      </c>
      <c r="D204" s="8" t="str">
        <f t="shared" si="2"/>
        <v>fp16</v>
      </c>
      <c r="E204" s="8" t="s">
        <v>181</v>
      </c>
      <c r="F204" s="8" t="s">
        <v>104</v>
      </c>
      <c r="G204" s="8"/>
      <c r="H204" s="7">
        <v>0</v>
      </c>
      <c r="I204" s="8" t="s">
        <v>347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ht="11.5" x14ac:dyDescent="0.15">
      <c r="A205" s="7">
        <v>1843</v>
      </c>
      <c r="B205" s="7">
        <f t="shared" si="0"/>
        <v>11100110011</v>
      </c>
      <c r="C205" s="7" t="str">
        <f t="shared" si="1"/>
        <v>733</v>
      </c>
      <c r="D205" s="8" t="str">
        <f t="shared" si="2"/>
        <v>fp16</v>
      </c>
      <c r="E205" s="8"/>
      <c r="F205" s="8"/>
      <c r="G205" s="8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ht="11.5" x14ac:dyDescent="0.15">
      <c r="A206" s="7">
        <v>1844</v>
      </c>
      <c r="B206" s="7">
        <f t="shared" si="0"/>
        <v>11100110100</v>
      </c>
      <c r="C206" s="7" t="str">
        <f t="shared" si="1"/>
        <v>734</v>
      </c>
      <c r="D206" s="8" t="str">
        <f t="shared" si="2"/>
        <v>fp16</v>
      </c>
      <c r="E206" s="8" t="s">
        <v>183</v>
      </c>
      <c r="F206" s="8" t="s">
        <v>106</v>
      </c>
      <c r="G206" s="8"/>
      <c r="H206" s="7">
        <v>0</v>
      </c>
      <c r="I206" s="8" t="s">
        <v>347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ht="11.5" x14ac:dyDescent="0.15">
      <c r="A207" s="7">
        <v>1845</v>
      </c>
      <c r="B207" s="7">
        <f t="shared" si="0"/>
        <v>11100110101</v>
      </c>
      <c r="C207" s="7" t="str">
        <f t="shared" si="1"/>
        <v>735</v>
      </c>
      <c r="D207" s="8" t="str">
        <f t="shared" si="2"/>
        <v>fp16</v>
      </c>
      <c r="E207" s="8"/>
      <c r="F207" s="8"/>
      <c r="G207" s="8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ht="11.5" x14ac:dyDescent="0.15">
      <c r="A208" s="7">
        <v>1846</v>
      </c>
      <c r="B208" s="7">
        <f t="shared" si="0"/>
        <v>11100110110</v>
      </c>
      <c r="C208" s="7" t="str">
        <f t="shared" si="1"/>
        <v>736</v>
      </c>
      <c r="D208" s="8" t="str">
        <f t="shared" si="2"/>
        <v>fp16</v>
      </c>
      <c r="E208" s="8" t="s">
        <v>185</v>
      </c>
      <c r="F208" s="8" t="s">
        <v>108</v>
      </c>
      <c r="G208" s="8"/>
      <c r="H208" s="7">
        <v>0</v>
      </c>
      <c r="I208" s="8" t="s">
        <v>347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ht="11.5" x14ac:dyDescent="0.15">
      <c r="A209" s="7">
        <v>1847</v>
      </c>
      <c r="B209" s="7">
        <f t="shared" si="0"/>
        <v>11100110111</v>
      </c>
      <c r="C209" s="7" t="str">
        <f t="shared" si="1"/>
        <v>737</v>
      </c>
      <c r="D209" s="8" t="str">
        <f t="shared" si="2"/>
        <v>fp16</v>
      </c>
      <c r="E209" s="8"/>
      <c r="F209" s="8"/>
      <c r="G209" s="8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ht="11.5" x14ac:dyDescent="0.15">
      <c r="A210" s="7">
        <v>1848</v>
      </c>
      <c r="B210" s="7">
        <f t="shared" si="0"/>
        <v>11100111000</v>
      </c>
      <c r="C210" s="7" t="str">
        <f t="shared" si="1"/>
        <v>738</v>
      </c>
      <c r="D210" s="8" t="str">
        <f t="shared" si="2"/>
        <v>fp16</v>
      </c>
      <c r="E210" s="8"/>
      <c r="F210" s="8" t="s">
        <v>114</v>
      </c>
      <c r="G210" s="8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ht="11.5" x14ac:dyDescent="0.15">
      <c r="A211" s="7">
        <v>1849</v>
      </c>
      <c r="B211" s="7">
        <f t="shared" si="0"/>
        <v>11100111001</v>
      </c>
      <c r="C211" s="7" t="str">
        <f t="shared" si="1"/>
        <v>739</v>
      </c>
      <c r="D211" s="8" t="str">
        <f t="shared" si="2"/>
        <v>fp16</v>
      </c>
      <c r="E211" s="8"/>
      <c r="F211" s="8"/>
      <c r="G211" s="8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ht="11.5" x14ac:dyDescent="0.15">
      <c r="A212" s="7">
        <v>1850</v>
      </c>
      <c r="B212" s="7">
        <f t="shared" si="0"/>
        <v>11100111010</v>
      </c>
      <c r="C212" s="7" t="str">
        <f t="shared" si="1"/>
        <v>73A</v>
      </c>
      <c r="D212" s="8" t="str">
        <f t="shared" si="2"/>
        <v>fp16</v>
      </c>
      <c r="E212" s="8"/>
      <c r="F212" s="8"/>
      <c r="G212" s="8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ht="11.5" x14ac:dyDescent="0.15">
      <c r="A213" s="7">
        <v>1851</v>
      </c>
      <c r="B213" s="7">
        <f t="shared" si="0"/>
        <v>11100111011</v>
      </c>
      <c r="C213" s="7" t="str">
        <f t="shared" si="1"/>
        <v>73B</v>
      </c>
      <c r="D213" s="8" t="str">
        <f t="shared" si="2"/>
        <v>fp16</v>
      </c>
      <c r="E213" s="8"/>
      <c r="F213" s="8"/>
      <c r="G213" s="8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ht="11.5" x14ac:dyDescent="0.15">
      <c r="A214" s="7">
        <v>1852</v>
      </c>
      <c r="B214" s="7">
        <f t="shared" si="0"/>
        <v>11100111100</v>
      </c>
      <c r="C214" s="7" t="str">
        <f t="shared" si="1"/>
        <v>73C</v>
      </c>
      <c r="D214" s="8" t="str">
        <f t="shared" si="2"/>
        <v>fp16</v>
      </c>
      <c r="E214" s="8"/>
      <c r="F214" s="8"/>
      <c r="G214" s="8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ht="11.5" x14ac:dyDescent="0.15">
      <c r="A215" s="7">
        <v>1853</v>
      </c>
      <c r="B215" s="7">
        <f t="shared" si="0"/>
        <v>11100111101</v>
      </c>
      <c r="C215" s="7" t="str">
        <f t="shared" si="1"/>
        <v>73D</v>
      </c>
      <c r="D215" s="8" t="str">
        <f t="shared" si="2"/>
        <v>fp16</v>
      </c>
      <c r="E215" s="8"/>
      <c r="F215" s="8"/>
      <c r="G215" s="8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ht="11.5" x14ac:dyDescent="0.15">
      <c r="A216" s="7">
        <v>1854</v>
      </c>
      <c r="B216" s="7">
        <f t="shared" si="0"/>
        <v>11100111110</v>
      </c>
      <c r="C216" s="7" t="str">
        <f t="shared" si="1"/>
        <v>73E</v>
      </c>
      <c r="D216" s="8" t="str">
        <f t="shared" si="2"/>
        <v>fp16</v>
      </c>
      <c r="E216" s="8"/>
      <c r="F216" s="8"/>
      <c r="G216" s="8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ht="11.5" x14ac:dyDescent="0.15">
      <c r="A217" s="7">
        <v>1855</v>
      </c>
      <c r="B217" s="7">
        <f t="shared" si="0"/>
        <v>11100111111</v>
      </c>
      <c r="C217" s="7" t="str">
        <f t="shared" si="1"/>
        <v>73F</v>
      </c>
      <c r="D217" s="8" t="str">
        <f t="shared" si="2"/>
        <v>fp16</v>
      </c>
      <c r="E217" s="8"/>
      <c r="F217" s="8"/>
      <c r="G217" s="8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ht="11.5" x14ac:dyDescent="0.15">
      <c r="A218" s="7">
        <v>1856</v>
      </c>
      <c r="B218" s="7">
        <f t="shared" si="0"/>
        <v>11101000000</v>
      </c>
      <c r="C218" s="7" t="str">
        <f t="shared" si="1"/>
        <v>740</v>
      </c>
      <c r="D218" s="8" t="str">
        <f t="shared" si="2"/>
        <v>fp16</v>
      </c>
      <c r="E218" s="8" t="s">
        <v>186</v>
      </c>
      <c r="F218" s="8" t="s">
        <v>101</v>
      </c>
      <c r="G218" s="8" t="s">
        <v>116</v>
      </c>
      <c r="H218" s="7">
        <v>0</v>
      </c>
      <c r="I218" s="8" t="s">
        <v>347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ht="11.5" x14ac:dyDescent="0.15">
      <c r="A219" s="7">
        <v>1857</v>
      </c>
      <c r="B219" s="7">
        <f t="shared" si="0"/>
        <v>11101000001</v>
      </c>
      <c r="C219" s="7" t="str">
        <f t="shared" si="1"/>
        <v>741</v>
      </c>
      <c r="D219" s="8" t="str">
        <f t="shared" si="2"/>
        <v>fp16</v>
      </c>
      <c r="E219" s="8" t="s">
        <v>239</v>
      </c>
      <c r="F219" s="8" t="s">
        <v>176</v>
      </c>
      <c r="G219" s="8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ht="11.5" x14ac:dyDescent="0.15">
      <c r="A220" s="7">
        <v>1858</v>
      </c>
      <c r="B220" s="7">
        <f t="shared" si="0"/>
        <v>11101000010</v>
      </c>
      <c r="C220" s="7" t="str">
        <f t="shared" si="1"/>
        <v>742</v>
      </c>
      <c r="D220" s="8" t="str">
        <f t="shared" si="2"/>
        <v>fp16</v>
      </c>
      <c r="E220" s="8" t="s">
        <v>187</v>
      </c>
      <c r="F220" s="8" t="s">
        <v>104</v>
      </c>
      <c r="G220" s="8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ht="11.5" x14ac:dyDescent="0.15">
      <c r="A221" s="7">
        <v>1859</v>
      </c>
      <c r="B221" s="7">
        <f t="shared" si="0"/>
        <v>11101000011</v>
      </c>
      <c r="C221" s="7" t="str">
        <f t="shared" si="1"/>
        <v>743</v>
      </c>
      <c r="D221" s="8" t="str">
        <f t="shared" si="2"/>
        <v>fp16</v>
      </c>
      <c r="E221" s="8"/>
      <c r="F221" s="8"/>
      <c r="G221" s="8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ht="11.5" x14ac:dyDescent="0.15">
      <c r="A222" s="7">
        <v>1860</v>
      </c>
      <c r="B222" s="7">
        <f t="shared" si="0"/>
        <v>11101000100</v>
      </c>
      <c r="C222" s="7" t="str">
        <f t="shared" si="1"/>
        <v>744</v>
      </c>
      <c r="D222" s="8" t="str">
        <f t="shared" si="2"/>
        <v>fp16</v>
      </c>
      <c r="E222" s="8" t="s">
        <v>188</v>
      </c>
      <c r="F222" s="8" t="s">
        <v>106</v>
      </c>
      <c r="G222" s="8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ht="11.5" x14ac:dyDescent="0.15">
      <c r="A223" s="7">
        <v>1861</v>
      </c>
      <c r="B223" s="7">
        <f t="shared" si="0"/>
        <v>11101000101</v>
      </c>
      <c r="C223" s="7" t="str">
        <f t="shared" si="1"/>
        <v>745</v>
      </c>
      <c r="D223" s="8" t="str">
        <f t="shared" si="2"/>
        <v>fp16</v>
      </c>
      <c r="E223" s="8"/>
      <c r="F223" s="8"/>
      <c r="G223" s="8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ht="11.5" x14ac:dyDescent="0.15">
      <c r="A224" s="7">
        <v>1862</v>
      </c>
      <c r="B224" s="7">
        <f t="shared" si="0"/>
        <v>11101000110</v>
      </c>
      <c r="C224" s="7" t="str">
        <f t="shared" si="1"/>
        <v>746</v>
      </c>
      <c r="D224" s="8" t="str">
        <f t="shared" si="2"/>
        <v>fp16</v>
      </c>
      <c r="E224" s="8" t="s">
        <v>189</v>
      </c>
      <c r="F224" s="8" t="s">
        <v>108</v>
      </c>
      <c r="G224" s="8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ht="11.5" x14ac:dyDescent="0.15">
      <c r="A225" s="7">
        <v>1863</v>
      </c>
      <c r="B225" s="7">
        <f t="shared" si="0"/>
        <v>11101000111</v>
      </c>
      <c r="C225" s="7" t="str">
        <f t="shared" si="1"/>
        <v>747</v>
      </c>
      <c r="D225" s="8" t="str">
        <f t="shared" si="2"/>
        <v>fp16</v>
      </c>
      <c r="E225" s="8"/>
      <c r="F225" s="8"/>
      <c r="G225" s="8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ht="11.5" x14ac:dyDescent="0.15">
      <c r="A226" s="7">
        <v>1864</v>
      </c>
      <c r="B226" s="7">
        <f t="shared" si="0"/>
        <v>11101001000</v>
      </c>
      <c r="C226" s="7" t="str">
        <f t="shared" si="1"/>
        <v>748</v>
      </c>
      <c r="D226" s="8" t="str">
        <f t="shared" si="2"/>
        <v>fp16</v>
      </c>
      <c r="E226" s="8"/>
      <c r="F226" s="8"/>
      <c r="G226" s="8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ht="11.5" x14ac:dyDescent="0.15">
      <c r="A227" s="7">
        <v>1865</v>
      </c>
      <c r="B227" s="7">
        <f t="shared" si="0"/>
        <v>11101001001</v>
      </c>
      <c r="C227" s="7" t="str">
        <f t="shared" si="1"/>
        <v>749</v>
      </c>
      <c r="D227" s="8" t="str">
        <f t="shared" si="2"/>
        <v>fp16</v>
      </c>
      <c r="E227" s="8"/>
      <c r="F227" s="8"/>
      <c r="G227" s="8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ht="11.5" x14ac:dyDescent="0.15">
      <c r="A228" s="7">
        <v>1866</v>
      </c>
      <c r="B228" s="7">
        <f t="shared" si="0"/>
        <v>11101001010</v>
      </c>
      <c r="C228" s="7" t="str">
        <f t="shared" si="1"/>
        <v>74A</v>
      </c>
      <c r="D228" s="8" t="str">
        <f t="shared" si="2"/>
        <v>fp16</v>
      </c>
      <c r="E228" s="8"/>
      <c r="F228" s="8"/>
      <c r="G228" s="8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ht="11.5" x14ac:dyDescent="0.15">
      <c r="A229" s="7">
        <v>1867</v>
      </c>
      <c r="B229" s="7">
        <f t="shared" si="0"/>
        <v>11101001011</v>
      </c>
      <c r="C229" s="7" t="str">
        <f t="shared" si="1"/>
        <v>74B</v>
      </c>
      <c r="D229" s="8" t="str">
        <f t="shared" si="2"/>
        <v>fp16</v>
      </c>
      <c r="E229" s="8"/>
      <c r="F229" s="8"/>
      <c r="G229" s="8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ht="11.5" x14ac:dyDescent="0.15">
      <c r="A230" s="7">
        <v>1868</v>
      </c>
      <c r="B230" s="7">
        <f t="shared" si="0"/>
        <v>11101001100</v>
      </c>
      <c r="C230" s="7" t="str">
        <f t="shared" si="1"/>
        <v>74C</v>
      </c>
      <c r="D230" s="8" t="str">
        <f t="shared" si="2"/>
        <v>fp16</v>
      </c>
      <c r="E230" s="8"/>
      <c r="F230" s="8"/>
      <c r="G230" s="8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ht="11.5" x14ac:dyDescent="0.15">
      <c r="A231" s="7">
        <v>1869</v>
      </c>
      <c r="B231" s="7">
        <f t="shared" si="0"/>
        <v>11101001101</v>
      </c>
      <c r="C231" s="7" t="str">
        <f t="shared" si="1"/>
        <v>74D</v>
      </c>
      <c r="D231" s="8" t="str">
        <f t="shared" si="2"/>
        <v>fp16</v>
      </c>
      <c r="E231" s="8"/>
      <c r="F231" s="8"/>
      <c r="G231" s="8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ht="11.5" x14ac:dyDescent="0.15">
      <c r="A232" s="7">
        <v>1870</v>
      </c>
      <c r="B232" s="7">
        <f t="shared" si="0"/>
        <v>11101001110</v>
      </c>
      <c r="C232" s="7" t="str">
        <f t="shared" si="1"/>
        <v>74E</v>
      </c>
      <c r="D232" s="8" t="str">
        <f t="shared" si="2"/>
        <v>fp16</v>
      </c>
      <c r="E232" s="8"/>
      <c r="F232" s="8"/>
      <c r="G232" s="8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ht="11.5" x14ac:dyDescent="0.15">
      <c r="A233" s="7">
        <v>1871</v>
      </c>
      <c r="B233" s="7">
        <f t="shared" si="0"/>
        <v>11101001111</v>
      </c>
      <c r="C233" s="7" t="str">
        <f t="shared" si="1"/>
        <v>74F</v>
      </c>
      <c r="D233" s="8" t="str">
        <f t="shared" si="2"/>
        <v>fp16</v>
      </c>
      <c r="E233" s="8"/>
      <c r="F233" s="8"/>
      <c r="G233" s="8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ht="11.5" x14ac:dyDescent="0.15">
      <c r="A234" s="7">
        <v>1872</v>
      </c>
      <c r="B234" s="7">
        <f t="shared" ref="B234:B249" si="19">DEC2BIN(A234/512)*1000000000+DEC2BIN(MOD(A234,512))</f>
        <v>11101010000</v>
      </c>
      <c r="C234" s="7" t="str">
        <f t="shared" ref="C234:C249" si="20">DEC2HEX(A234)</f>
        <v>750</v>
      </c>
      <c r="D234" s="8" t="str">
        <f t="shared" ref="D234:D249" si="21">IF(A234=0,"-", IF(A234&lt;1024,"文字列",IF(A234&lt;1280,"uint32_t",IF(A234&lt;1536,"uint16_t",IF(A234&lt;1792,"float","fp16")))))</f>
        <v>fp16</v>
      </c>
      <c r="E234" s="8" t="s">
        <v>240</v>
      </c>
      <c r="F234" s="8" t="s">
        <v>101</v>
      </c>
      <c r="G234" s="8" t="s">
        <v>255</v>
      </c>
      <c r="H234" s="7"/>
      <c r="I234" s="8" t="s">
        <v>278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ht="11.5" x14ac:dyDescent="0.15">
      <c r="A235" s="7">
        <v>1873</v>
      </c>
      <c r="B235" s="7">
        <f t="shared" si="19"/>
        <v>11101010001</v>
      </c>
      <c r="C235" s="7" t="str">
        <f t="shared" si="20"/>
        <v>751</v>
      </c>
      <c r="D235" s="8" t="str">
        <f t="shared" si="21"/>
        <v>fp16</v>
      </c>
      <c r="E235" s="8" t="s">
        <v>241</v>
      </c>
      <c r="F235" s="8" t="s">
        <v>176</v>
      </c>
      <c r="G235" s="8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ht="11.5" x14ac:dyDescent="0.15">
      <c r="A236" s="7">
        <v>1874</v>
      </c>
      <c r="B236" s="7">
        <f t="shared" si="19"/>
        <v>11101010010</v>
      </c>
      <c r="C236" s="7" t="str">
        <f t="shared" si="20"/>
        <v>752</v>
      </c>
      <c r="D236" s="8" t="str">
        <f t="shared" si="21"/>
        <v>fp16</v>
      </c>
      <c r="E236" s="8" t="s">
        <v>242</v>
      </c>
      <c r="F236" s="8" t="s">
        <v>104</v>
      </c>
      <c r="G236" s="8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ht="11.5" x14ac:dyDescent="0.15">
      <c r="A237" s="7">
        <v>1875</v>
      </c>
      <c r="B237" s="7">
        <f t="shared" si="19"/>
        <v>11101010011</v>
      </c>
      <c r="C237" s="7" t="str">
        <f t="shared" si="20"/>
        <v>753</v>
      </c>
      <c r="D237" s="8" t="str">
        <f t="shared" si="21"/>
        <v>fp16</v>
      </c>
      <c r="E237" s="8"/>
      <c r="F237" s="8"/>
      <c r="G237" s="8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ht="11.5" x14ac:dyDescent="0.15">
      <c r="A238" s="7">
        <v>1876</v>
      </c>
      <c r="B238" s="7">
        <f t="shared" si="19"/>
        <v>11101010100</v>
      </c>
      <c r="C238" s="7" t="str">
        <f t="shared" si="20"/>
        <v>754</v>
      </c>
      <c r="D238" s="8" t="str">
        <f t="shared" si="21"/>
        <v>fp16</v>
      </c>
      <c r="E238" s="8" t="s">
        <v>243</v>
      </c>
      <c r="F238" s="8" t="s">
        <v>106</v>
      </c>
      <c r="G238" s="8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ht="11.5" x14ac:dyDescent="0.15">
      <c r="A239" s="7">
        <v>1877</v>
      </c>
      <c r="B239" s="7">
        <f t="shared" si="19"/>
        <v>11101010101</v>
      </c>
      <c r="C239" s="7" t="str">
        <f t="shared" si="20"/>
        <v>755</v>
      </c>
      <c r="D239" s="8" t="str">
        <f t="shared" si="21"/>
        <v>fp16</v>
      </c>
      <c r="E239" s="8"/>
      <c r="F239" s="8"/>
      <c r="G239" s="8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ht="11.5" x14ac:dyDescent="0.15">
      <c r="A240" s="7">
        <v>1878</v>
      </c>
      <c r="B240" s="7">
        <f t="shared" si="19"/>
        <v>11101010110</v>
      </c>
      <c r="C240" s="7" t="str">
        <f t="shared" si="20"/>
        <v>756</v>
      </c>
      <c r="D240" s="8" t="str">
        <f t="shared" si="21"/>
        <v>fp16</v>
      </c>
      <c r="E240" s="8" t="s">
        <v>244</v>
      </c>
      <c r="F240" s="8" t="s">
        <v>108</v>
      </c>
      <c r="G240" s="8"/>
      <c r="H240" s="7"/>
      <c r="I240" s="8" t="s">
        <v>278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ht="11.5" x14ac:dyDescent="0.15">
      <c r="A241" s="7">
        <v>1879</v>
      </c>
      <c r="B241" s="7">
        <f t="shared" si="19"/>
        <v>11101010111</v>
      </c>
      <c r="C241" s="7" t="str">
        <f t="shared" si="20"/>
        <v>757</v>
      </c>
      <c r="D241" s="8" t="str">
        <f t="shared" si="21"/>
        <v>fp16</v>
      </c>
      <c r="E241" s="8"/>
      <c r="F241" s="8"/>
      <c r="G241" s="8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ht="11.5" x14ac:dyDescent="0.15">
      <c r="A242" s="7">
        <v>1880</v>
      </c>
      <c r="B242" s="7">
        <f t="shared" si="19"/>
        <v>11101011000</v>
      </c>
      <c r="C242" s="7" t="str">
        <f t="shared" si="20"/>
        <v>758</v>
      </c>
      <c r="D242" s="8" t="str">
        <f t="shared" si="21"/>
        <v>fp16</v>
      </c>
      <c r="E242" s="8"/>
      <c r="F242" s="8"/>
      <c r="G242" s="8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1" ht="11.5" x14ac:dyDescent="0.15">
      <c r="A243" s="7">
        <v>1881</v>
      </c>
      <c r="B243" s="7">
        <f t="shared" si="19"/>
        <v>11101011001</v>
      </c>
      <c r="C243" s="7" t="str">
        <f t="shared" si="20"/>
        <v>759</v>
      </c>
      <c r="D243" s="8" t="str">
        <f t="shared" si="21"/>
        <v>fp16</v>
      </c>
      <c r="E243" s="8"/>
      <c r="F243" s="8"/>
      <c r="G243" s="8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ht="11.5" x14ac:dyDescent="0.15">
      <c r="A244" s="7">
        <v>1882</v>
      </c>
      <c r="B244" s="7">
        <f t="shared" si="19"/>
        <v>11101011010</v>
      </c>
      <c r="C244" s="7" t="str">
        <f t="shared" si="20"/>
        <v>75A</v>
      </c>
      <c r="D244" s="8" t="str">
        <f t="shared" si="21"/>
        <v>fp16</v>
      </c>
      <c r="E244" s="8"/>
      <c r="F244" s="8"/>
      <c r="G244" s="8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ht="11.5" x14ac:dyDescent="0.15">
      <c r="A245" s="7">
        <v>1883</v>
      </c>
      <c r="B245" s="7">
        <f t="shared" si="19"/>
        <v>11101011011</v>
      </c>
      <c r="C245" s="7" t="str">
        <f t="shared" si="20"/>
        <v>75B</v>
      </c>
      <c r="D245" s="8" t="str">
        <f t="shared" si="21"/>
        <v>fp16</v>
      </c>
      <c r="E245" s="8"/>
      <c r="F245" s="8"/>
      <c r="G245" s="8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ht="11.5" x14ac:dyDescent="0.15">
      <c r="A246" s="7">
        <v>1884</v>
      </c>
      <c r="B246" s="7">
        <f t="shared" si="19"/>
        <v>11101011100</v>
      </c>
      <c r="C246" s="7" t="str">
        <f t="shared" si="20"/>
        <v>75C</v>
      </c>
      <c r="D246" s="8" t="str">
        <f t="shared" si="21"/>
        <v>fp16</v>
      </c>
      <c r="E246" s="8"/>
      <c r="F246" s="8"/>
      <c r="G246" s="8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ht="11.5" x14ac:dyDescent="0.15">
      <c r="A247" s="7">
        <v>1885</v>
      </c>
      <c r="B247" s="7">
        <f t="shared" si="19"/>
        <v>11101011101</v>
      </c>
      <c r="C247" s="7" t="str">
        <f t="shared" si="20"/>
        <v>75D</v>
      </c>
      <c r="D247" s="8" t="str">
        <f t="shared" si="21"/>
        <v>fp16</v>
      </c>
      <c r="E247" s="8"/>
      <c r="F247" s="8"/>
      <c r="G247" s="8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ht="11.5" x14ac:dyDescent="0.15">
      <c r="A248" s="7">
        <v>1886</v>
      </c>
      <c r="B248" s="7">
        <f t="shared" si="19"/>
        <v>11101011110</v>
      </c>
      <c r="C248" s="7" t="str">
        <f t="shared" si="20"/>
        <v>75E</v>
      </c>
      <c r="D248" s="8" t="str">
        <f t="shared" si="21"/>
        <v>fp16</v>
      </c>
      <c r="E248" s="8"/>
      <c r="F248" s="8"/>
      <c r="G248" s="8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ht="11.5" x14ac:dyDescent="0.15">
      <c r="A249" s="7">
        <v>1887</v>
      </c>
      <c r="B249" s="7">
        <f t="shared" si="19"/>
        <v>11101011111</v>
      </c>
      <c r="C249" s="7" t="str">
        <f t="shared" si="20"/>
        <v>75F</v>
      </c>
      <c r="D249" s="8" t="str">
        <f t="shared" si="21"/>
        <v>fp16</v>
      </c>
      <c r="E249" s="8"/>
      <c r="F249" s="8"/>
      <c r="G249" s="8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ht="11.5" x14ac:dyDescent="0.15">
      <c r="A250" s="7">
        <v>1888</v>
      </c>
      <c r="B250" s="7">
        <f t="shared" ref="B250:B265" si="22">DEC2BIN(A250/512)*1000000000+DEC2BIN(MOD(A250,512))</f>
        <v>11101100000</v>
      </c>
      <c r="C250" s="7" t="str">
        <f t="shared" ref="C250:C265" si="23">DEC2HEX(A250)</f>
        <v>760</v>
      </c>
      <c r="D250" s="8" t="str">
        <f t="shared" ref="D250:D265" si="24">IF(A250=0,"-", IF(A250&lt;1024,"文字列",IF(A250&lt;1280,"uint32_t",IF(A250&lt;1536,"uint16_t",IF(A250&lt;1792,"float","fp16")))))</f>
        <v>fp16</v>
      </c>
      <c r="E250" s="8" t="s">
        <v>256</v>
      </c>
      <c r="F250" s="8" t="s">
        <v>101</v>
      </c>
      <c r="G250" s="8" t="s">
        <v>261</v>
      </c>
      <c r="H250" s="7">
        <v>100</v>
      </c>
      <c r="I250" s="8" t="s">
        <v>346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ht="11.5" x14ac:dyDescent="0.15">
      <c r="A251" s="7">
        <v>1889</v>
      </c>
      <c r="B251" s="7">
        <f t="shared" si="22"/>
        <v>11101100001</v>
      </c>
      <c r="C251" s="7" t="str">
        <f t="shared" si="23"/>
        <v>761</v>
      </c>
      <c r="D251" s="8" t="str">
        <f t="shared" si="24"/>
        <v>fp16</v>
      </c>
      <c r="E251" s="8" t="s">
        <v>257</v>
      </c>
      <c r="F251" s="8" t="s">
        <v>176</v>
      </c>
      <c r="G251" s="8"/>
      <c r="H251" s="7">
        <v>100</v>
      </c>
      <c r="I251" s="8" t="s">
        <v>346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ht="11.5" x14ac:dyDescent="0.15">
      <c r="A252" s="7">
        <v>1890</v>
      </c>
      <c r="B252" s="7">
        <f t="shared" si="22"/>
        <v>11101100010</v>
      </c>
      <c r="C252" s="7" t="str">
        <f t="shared" si="23"/>
        <v>762</v>
      </c>
      <c r="D252" s="8" t="str">
        <f t="shared" si="24"/>
        <v>fp16</v>
      </c>
      <c r="E252" s="8" t="s">
        <v>258</v>
      </c>
      <c r="F252" s="8" t="s">
        <v>104</v>
      </c>
      <c r="G252" s="8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spans="1:31" ht="11.5" x14ac:dyDescent="0.15">
      <c r="A253" s="7">
        <v>1891</v>
      </c>
      <c r="B253" s="7">
        <f t="shared" si="22"/>
        <v>11101100011</v>
      </c>
      <c r="C253" s="7" t="str">
        <f t="shared" si="23"/>
        <v>763</v>
      </c>
      <c r="D253" s="8" t="str">
        <f t="shared" si="24"/>
        <v>fp16</v>
      </c>
      <c r="E253" s="8"/>
      <c r="F253" s="8"/>
      <c r="G253" s="8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ht="11.5" x14ac:dyDescent="0.15">
      <c r="A254" s="7">
        <v>1892</v>
      </c>
      <c r="B254" s="7">
        <f t="shared" si="22"/>
        <v>11101100100</v>
      </c>
      <c r="C254" s="7" t="str">
        <f t="shared" si="23"/>
        <v>764</v>
      </c>
      <c r="D254" s="8" t="str">
        <f t="shared" si="24"/>
        <v>fp16</v>
      </c>
      <c r="E254" s="8" t="s">
        <v>259</v>
      </c>
      <c r="F254" s="8" t="s">
        <v>106</v>
      </c>
      <c r="G254" s="8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ht="11.5" x14ac:dyDescent="0.15">
      <c r="A255" s="7">
        <v>1893</v>
      </c>
      <c r="B255" s="7">
        <f t="shared" si="22"/>
        <v>11101100101</v>
      </c>
      <c r="C255" s="7" t="str">
        <f t="shared" si="23"/>
        <v>765</v>
      </c>
      <c r="D255" s="8" t="str">
        <f t="shared" si="24"/>
        <v>fp16</v>
      </c>
      <c r="E255" s="8"/>
      <c r="F255" s="8"/>
      <c r="G255" s="8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ht="11.5" x14ac:dyDescent="0.15">
      <c r="A256" s="7">
        <v>1894</v>
      </c>
      <c r="B256" s="7">
        <f t="shared" si="22"/>
        <v>11101100110</v>
      </c>
      <c r="C256" s="7" t="str">
        <f t="shared" si="23"/>
        <v>766</v>
      </c>
      <c r="D256" s="8" t="str">
        <f t="shared" si="24"/>
        <v>fp16</v>
      </c>
      <c r="E256" s="8" t="s">
        <v>260</v>
      </c>
      <c r="F256" s="8" t="s">
        <v>108</v>
      </c>
      <c r="G256" s="8"/>
      <c r="H256" s="7">
        <v>100</v>
      </c>
      <c r="I256" s="8" t="s">
        <v>346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 ht="11.5" x14ac:dyDescent="0.15">
      <c r="A257" s="7">
        <v>1895</v>
      </c>
      <c r="B257" s="7">
        <f t="shared" si="22"/>
        <v>11101100111</v>
      </c>
      <c r="C257" s="7" t="str">
        <f t="shared" si="23"/>
        <v>767</v>
      </c>
      <c r="D257" s="8" t="str">
        <f t="shared" si="24"/>
        <v>fp16</v>
      </c>
      <c r="E257" s="8"/>
      <c r="F257" s="8"/>
      <c r="G257" s="8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 ht="11.5" x14ac:dyDescent="0.15">
      <c r="A258" s="7">
        <v>1896</v>
      </c>
      <c r="B258" s="7">
        <f t="shared" si="22"/>
        <v>11101101000</v>
      </c>
      <c r="C258" s="7" t="str">
        <f t="shared" si="23"/>
        <v>768</v>
      </c>
      <c r="D258" s="8" t="str">
        <f t="shared" si="24"/>
        <v>fp16</v>
      </c>
      <c r="E258" s="8"/>
      <c r="F258" s="8"/>
      <c r="G258" s="8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ht="11.5" x14ac:dyDescent="0.15">
      <c r="A259" s="7">
        <v>1897</v>
      </c>
      <c r="B259" s="7">
        <f t="shared" si="22"/>
        <v>11101101001</v>
      </c>
      <c r="C259" s="7" t="str">
        <f t="shared" si="23"/>
        <v>769</v>
      </c>
      <c r="D259" s="8" t="str">
        <f t="shared" si="24"/>
        <v>fp16</v>
      </c>
      <c r="E259" s="8"/>
      <c r="F259" s="8"/>
      <c r="G259" s="8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ht="11.5" x14ac:dyDescent="0.15">
      <c r="A260" s="7">
        <v>1898</v>
      </c>
      <c r="B260" s="7">
        <f t="shared" si="22"/>
        <v>11101101010</v>
      </c>
      <c r="C260" s="7" t="str">
        <f t="shared" si="23"/>
        <v>76A</v>
      </c>
      <c r="D260" s="8" t="str">
        <f t="shared" si="24"/>
        <v>fp16</v>
      </c>
      <c r="E260" s="8"/>
      <c r="F260" s="8"/>
      <c r="G260" s="8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 ht="11.5" x14ac:dyDescent="0.15">
      <c r="A261" s="7">
        <v>1899</v>
      </c>
      <c r="B261" s="7">
        <f t="shared" si="22"/>
        <v>11101101011</v>
      </c>
      <c r="C261" s="7" t="str">
        <f t="shared" si="23"/>
        <v>76B</v>
      </c>
      <c r="D261" s="8" t="str">
        <f t="shared" si="24"/>
        <v>fp16</v>
      </c>
      <c r="E261" s="8"/>
      <c r="F261" s="8"/>
      <c r="G261" s="8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ht="11.5" x14ac:dyDescent="0.15">
      <c r="A262" s="7">
        <v>1900</v>
      </c>
      <c r="B262" s="7">
        <f t="shared" si="22"/>
        <v>11101101100</v>
      </c>
      <c r="C262" s="7" t="str">
        <f t="shared" si="23"/>
        <v>76C</v>
      </c>
      <c r="D262" s="8" t="str">
        <f t="shared" si="24"/>
        <v>fp16</v>
      </c>
      <c r="E262" s="8"/>
      <c r="F262" s="8"/>
      <c r="G262" s="8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spans="1:31" ht="11.5" x14ac:dyDescent="0.15">
      <c r="A263" s="7">
        <v>1901</v>
      </c>
      <c r="B263" s="7">
        <f t="shared" si="22"/>
        <v>11101101101</v>
      </c>
      <c r="C263" s="7" t="str">
        <f t="shared" si="23"/>
        <v>76D</v>
      </c>
      <c r="D263" s="8" t="str">
        <f t="shared" si="24"/>
        <v>fp16</v>
      </c>
      <c r="E263" s="8"/>
      <c r="F263" s="8"/>
      <c r="G263" s="8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ht="11.5" x14ac:dyDescent="0.15">
      <c r="A264" s="7">
        <v>1902</v>
      </c>
      <c r="B264" s="7">
        <f t="shared" si="22"/>
        <v>11101101110</v>
      </c>
      <c r="C264" s="7" t="str">
        <f t="shared" si="23"/>
        <v>76E</v>
      </c>
      <c r="D264" s="8" t="str">
        <f t="shared" si="24"/>
        <v>fp16</v>
      </c>
      <c r="E264" s="8"/>
      <c r="F264" s="8"/>
      <c r="G264" s="8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 ht="11.5" x14ac:dyDescent="0.15">
      <c r="A265" s="7">
        <v>1903</v>
      </c>
      <c r="B265" s="7">
        <f t="shared" si="22"/>
        <v>11101101111</v>
      </c>
      <c r="C265" s="7" t="str">
        <f t="shared" si="23"/>
        <v>76F</v>
      </c>
      <c r="D265" s="8" t="str">
        <f t="shared" si="24"/>
        <v>fp16</v>
      </c>
      <c r="E265" s="8"/>
      <c r="F265" s="8"/>
      <c r="G265" s="8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ht="11.5" x14ac:dyDescent="0.15">
      <c r="A266" s="7">
        <v>1904</v>
      </c>
      <c r="B266" s="7">
        <f t="shared" ref="B266:B281" si="25">DEC2BIN(A266/512)*1000000000+DEC2BIN(MOD(A266,512))</f>
        <v>11101110000</v>
      </c>
      <c r="C266" s="7" t="str">
        <f t="shared" ref="C266:C281" si="26">DEC2HEX(A266)</f>
        <v>770</v>
      </c>
      <c r="D266" s="8" t="str">
        <f t="shared" ref="D266:D281" si="27">IF(A266=0,"-", IF(A266&lt;1024,"文字列",IF(A266&lt;1280,"uint32_t",IF(A266&lt;1536,"uint16_t",IF(A266&lt;1792,"float","fp16")))))</f>
        <v>fp16</v>
      </c>
      <c r="E266" s="8" t="s">
        <v>292</v>
      </c>
      <c r="F266" s="8" t="s">
        <v>101</v>
      </c>
      <c r="G266" s="8"/>
      <c r="H266" s="7"/>
      <c r="I266" s="8" t="s">
        <v>288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spans="1:31" ht="11.5" x14ac:dyDescent="0.15">
      <c r="A267" s="7">
        <v>1905</v>
      </c>
      <c r="B267" s="7">
        <f t="shared" si="25"/>
        <v>11101110001</v>
      </c>
      <c r="C267" s="7" t="str">
        <f t="shared" si="26"/>
        <v>771</v>
      </c>
      <c r="D267" s="8" t="str">
        <f t="shared" si="27"/>
        <v>fp16</v>
      </c>
      <c r="E267" s="8" t="s">
        <v>293</v>
      </c>
      <c r="F267" s="8" t="s">
        <v>176</v>
      </c>
      <c r="G267" s="8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spans="1:31" ht="11.5" x14ac:dyDescent="0.15">
      <c r="A268" s="7">
        <v>1906</v>
      </c>
      <c r="B268" s="7">
        <f t="shared" si="25"/>
        <v>11101110010</v>
      </c>
      <c r="C268" s="7" t="str">
        <f t="shared" si="26"/>
        <v>772</v>
      </c>
      <c r="D268" s="8" t="str">
        <f t="shared" si="27"/>
        <v>fp16</v>
      </c>
      <c r="E268" s="8" t="s">
        <v>294</v>
      </c>
      <c r="F268" s="8" t="s">
        <v>104</v>
      </c>
      <c r="G268" s="8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spans="1:31" ht="11.5" x14ac:dyDescent="0.15">
      <c r="A269" s="7">
        <v>1907</v>
      </c>
      <c r="B269" s="7">
        <f t="shared" si="25"/>
        <v>11101110011</v>
      </c>
      <c r="C269" s="7" t="str">
        <f t="shared" si="26"/>
        <v>773</v>
      </c>
      <c r="D269" s="8" t="str">
        <f t="shared" si="27"/>
        <v>fp16</v>
      </c>
      <c r="E269" s="8"/>
      <c r="F269" s="8"/>
      <c r="G269" s="8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spans="1:31" ht="11.5" x14ac:dyDescent="0.15">
      <c r="A270" s="7">
        <v>1908</v>
      </c>
      <c r="B270" s="7">
        <f t="shared" si="25"/>
        <v>11101110100</v>
      </c>
      <c r="C270" s="7" t="str">
        <f t="shared" si="26"/>
        <v>774</v>
      </c>
      <c r="D270" s="8" t="str">
        <f t="shared" si="27"/>
        <v>fp16</v>
      </c>
      <c r="E270" s="8" t="s">
        <v>295</v>
      </c>
      <c r="F270" s="8" t="s">
        <v>106</v>
      </c>
      <c r="G270" s="8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spans="1:31" ht="11.5" x14ac:dyDescent="0.15">
      <c r="A271" s="7">
        <v>1909</v>
      </c>
      <c r="B271" s="7">
        <f t="shared" si="25"/>
        <v>11101110101</v>
      </c>
      <c r="C271" s="7" t="str">
        <f t="shared" si="26"/>
        <v>775</v>
      </c>
      <c r="D271" s="8" t="str">
        <f t="shared" si="27"/>
        <v>fp16</v>
      </c>
      <c r="E271" s="8"/>
      <c r="F271" s="8"/>
      <c r="G271" s="8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spans="1:31" ht="11.5" x14ac:dyDescent="0.15">
      <c r="A272" s="7">
        <v>1910</v>
      </c>
      <c r="B272" s="7">
        <f t="shared" si="25"/>
        <v>11101110110</v>
      </c>
      <c r="C272" s="7" t="str">
        <f t="shared" si="26"/>
        <v>776</v>
      </c>
      <c r="D272" s="8" t="str">
        <f t="shared" si="27"/>
        <v>fp16</v>
      </c>
      <c r="E272" s="8" t="s">
        <v>296</v>
      </c>
      <c r="F272" s="8" t="s">
        <v>108</v>
      </c>
      <c r="G272" s="8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spans="1:31" ht="11.5" x14ac:dyDescent="0.15">
      <c r="A273" s="7">
        <v>1911</v>
      </c>
      <c r="B273" s="7">
        <f t="shared" si="25"/>
        <v>11101110111</v>
      </c>
      <c r="C273" s="7" t="str">
        <f t="shared" si="26"/>
        <v>777</v>
      </c>
      <c r="D273" s="8" t="str">
        <f t="shared" si="27"/>
        <v>fp16</v>
      </c>
      <c r="E273" s="8"/>
      <c r="F273" s="8"/>
      <c r="G273" s="8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spans="1:31" ht="11.5" x14ac:dyDescent="0.15">
      <c r="A274" s="7">
        <v>1912</v>
      </c>
      <c r="B274" s="7">
        <f t="shared" si="25"/>
        <v>11101111000</v>
      </c>
      <c r="C274" s="7" t="str">
        <f t="shared" si="26"/>
        <v>778</v>
      </c>
      <c r="D274" s="8" t="str">
        <f t="shared" si="27"/>
        <v>fp16</v>
      </c>
      <c r="E274" s="8"/>
      <c r="F274" s="8"/>
      <c r="G274" s="8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spans="1:31" ht="11.5" x14ac:dyDescent="0.15">
      <c r="A275" s="7">
        <v>1913</v>
      </c>
      <c r="B275" s="7">
        <f t="shared" si="25"/>
        <v>11101111001</v>
      </c>
      <c r="C275" s="7" t="str">
        <f t="shared" si="26"/>
        <v>779</v>
      </c>
      <c r="D275" s="8" t="str">
        <f t="shared" si="27"/>
        <v>fp16</v>
      </c>
      <c r="E275" s="8"/>
      <c r="F275" s="8"/>
      <c r="G275" s="8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spans="1:31" ht="11.5" x14ac:dyDescent="0.15">
      <c r="A276" s="7">
        <v>1914</v>
      </c>
      <c r="B276" s="7">
        <f t="shared" si="25"/>
        <v>11101111010</v>
      </c>
      <c r="C276" s="7" t="str">
        <f t="shared" si="26"/>
        <v>77A</v>
      </c>
      <c r="D276" s="8" t="str">
        <f t="shared" si="27"/>
        <v>fp16</v>
      </c>
      <c r="E276" s="8"/>
      <c r="F276" s="8"/>
      <c r="G276" s="8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spans="1:31" ht="11.5" x14ac:dyDescent="0.15">
      <c r="A277" s="7">
        <v>1915</v>
      </c>
      <c r="B277" s="7">
        <f t="shared" si="25"/>
        <v>11101111011</v>
      </c>
      <c r="C277" s="7" t="str">
        <f t="shared" si="26"/>
        <v>77B</v>
      </c>
      <c r="D277" s="8" t="str">
        <f t="shared" si="27"/>
        <v>fp16</v>
      </c>
      <c r="E277" s="8"/>
      <c r="F277" s="8"/>
      <c r="G277" s="8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spans="1:31" ht="11.5" x14ac:dyDescent="0.15">
      <c r="A278" s="7">
        <v>1916</v>
      </c>
      <c r="B278" s="7">
        <f t="shared" si="25"/>
        <v>11101111100</v>
      </c>
      <c r="C278" s="7" t="str">
        <f t="shared" si="26"/>
        <v>77C</v>
      </c>
      <c r="D278" s="8" t="str">
        <f t="shared" si="27"/>
        <v>fp16</v>
      </c>
      <c r="E278" s="8"/>
      <c r="F278" s="8"/>
      <c r="G278" s="8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spans="1:31" ht="11.5" x14ac:dyDescent="0.15">
      <c r="A279" s="7">
        <v>1917</v>
      </c>
      <c r="B279" s="7">
        <f t="shared" si="25"/>
        <v>11101111101</v>
      </c>
      <c r="C279" s="7" t="str">
        <f t="shared" si="26"/>
        <v>77D</v>
      </c>
      <c r="D279" s="8" t="str">
        <f t="shared" si="27"/>
        <v>fp16</v>
      </c>
      <c r="E279" s="8"/>
      <c r="F279" s="8"/>
      <c r="G279" s="8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spans="1:31" ht="11.5" x14ac:dyDescent="0.15">
      <c r="A280" s="7">
        <v>1918</v>
      </c>
      <c r="B280" s="7">
        <f t="shared" si="25"/>
        <v>11101111110</v>
      </c>
      <c r="C280" s="7" t="str">
        <f t="shared" si="26"/>
        <v>77E</v>
      </c>
      <c r="D280" s="8" t="str">
        <f t="shared" si="27"/>
        <v>fp16</v>
      </c>
      <c r="E280" s="8"/>
      <c r="F280" s="8"/>
      <c r="G280" s="8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spans="1:31" ht="11.5" x14ac:dyDescent="0.15">
      <c r="A281" s="7">
        <v>1919</v>
      </c>
      <c r="B281" s="7">
        <f t="shared" si="25"/>
        <v>11101111111</v>
      </c>
      <c r="C281" s="7" t="str">
        <f t="shared" si="26"/>
        <v>77F</v>
      </c>
      <c r="D281" s="8" t="str">
        <f t="shared" si="27"/>
        <v>fp16</v>
      </c>
      <c r="E281" s="8"/>
      <c r="F281" s="8"/>
      <c r="G281" s="8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spans="1:31" ht="11.5" x14ac:dyDescent="0.15">
      <c r="A282" s="8"/>
      <c r="B282" s="8"/>
      <c r="C282" s="8"/>
      <c r="D282" s="8"/>
      <c r="E282" s="8"/>
      <c r="F282" s="8"/>
      <c r="G282" s="8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spans="1:31" ht="11.5" x14ac:dyDescent="0.15">
      <c r="A283" s="8"/>
      <c r="B283" s="8"/>
      <c r="C283" s="8"/>
      <c r="D283" s="8"/>
      <c r="E283" s="8"/>
      <c r="F283" s="8"/>
      <c r="G283" s="8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spans="1:31" ht="11.5" x14ac:dyDescent="0.15">
      <c r="A284" s="8"/>
      <c r="B284" s="8"/>
      <c r="C284" s="8"/>
      <c r="D284" s="8"/>
      <c r="E284" s="8"/>
      <c r="F284" s="8"/>
      <c r="G284" s="8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spans="1:31" ht="11.5" x14ac:dyDescent="0.15">
      <c r="A285" s="8"/>
      <c r="B285" s="8"/>
      <c r="C285" s="8"/>
      <c r="D285" s="8"/>
      <c r="E285" s="8"/>
      <c r="F285" s="8"/>
      <c r="G285" s="8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spans="1:31" ht="11.5" x14ac:dyDescent="0.15">
      <c r="A286" s="7">
        <v>2047</v>
      </c>
      <c r="B286" s="7">
        <f>DEC2BIN(A286/512)*1000000000+DEC2BIN(MOD(A286,512))</f>
        <v>11111111111</v>
      </c>
      <c r="C286" s="7" t="str">
        <f>DEC2HEX(A286)</f>
        <v>7FF</v>
      </c>
      <c r="D286" s="8"/>
      <c r="E286" s="8"/>
      <c r="F286" s="8"/>
      <c r="G286" s="8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spans="1:31" ht="11.5" x14ac:dyDescent="0.15">
      <c r="A287" s="8"/>
      <c r="B287" s="8"/>
      <c r="C287" s="8"/>
      <c r="D287" s="8"/>
      <c r="E287" s="8"/>
      <c r="F287" s="8"/>
      <c r="G287" s="8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spans="1:31" ht="11.5" x14ac:dyDescent="0.15">
      <c r="A288" s="8"/>
      <c r="B288" s="8"/>
      <c r="C288" s="8"/>
      <c r="D288" s="8"/>
      <c r="E288" s="8"/>
      <c r="F288" s="8"/>
      <c r="G288" s="8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spans="1:31" ht="11.5" x14ac:dyDescent="0.15">
      <c r="A289" s="8"/>
      <c r="B289" s="8"/>
      <c r="C289" s="8"/>
      <c r="D289" s="8"/>
      <c r="E289" s="8"/>
      <c r="F289" s="8"/>
      <c r="G289" s="8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spans="1:31" ht="11.5" x14ac:dyDescent="0.15">
      <c r="A290" s="8"/>
      <c r="B290" s="8"/>
      <c r="C290" s="8"/>
      <c r="D290" s="8"/>
      <c r="E290" s="8"/>
      <c r="F290" s="8"/>
      <c r="G290" s="8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spans="1:31" ht="11.5" x14ac:dyDescent="0.15">
      <c r="A291" s="8"/>
      <c r="B291" s="8"/>
      <c r="C291" s="8"/>
      <c r="D291" s="8"/>
      <c r="E291" s="8"/>
      <c r="F291" s="8"/>
      <c r="G291" s="8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spans="1:31" ht="11.5" x14ac:dyDescent="0.15">
      <c r="A292" s="8"/>
      <c r="B292" s="8"/>
      <c r="C292" s="8"/>
      <c r="D292" s="8"/>
      <c r="E292" s="8"/>
      <c r="F292" s="8"/>
      <c r="G292" s="8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spans="1:31" ht="11.5" x14ac:dyDescent="0.15">
      <c r="A293" s="8"/>
      <c r="B293" s="8"/>
      <c r="C293" s="8"/>
      <c r="D293" s="8"/>
      <c r="E293" s="8"/>
      <c r="F293" s="8"/>
      <c r="G293" s="8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spans="1:31" ht="11.5" x14ac:dyDescent="0.15">
      <c r="A294" s="8"/>
      <c r="B294" s="8"/>
      <c r="C294" s="8"/>
      <c r="D294" s="8"/>
      <c r="E294" s="8"/>
      <c r="F294" s="8"/>
      <c r="G294" s="8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spans="1:31" ht="11.5" x14ac:dyDescent="0.15">
      <c r="A295" s="8"/>
      <c r="B295" s="8"/>
      <c r="C295" s="8"/>
      <c r="D295" s="8"/>
      <c r="E295" s="8"/>
      <c r="F295" s="8"/>
      <c r="G295" s="8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spans="1:31" ht="11.5" x14ac:dyDescent="0.15">
      <c r="A296" s="8"/>
      <c r="B296" s="8"/>
      <c r="C296" s="8"/>
      <c r="D296" s="8"/>
      <c r="E296" s="8"/>
      <c r="F296" s="8"/>
      <c r="G296" s="8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spans="1:31" ht="11.5" x14ac:dyDescent="0.15">
      <c r="A297" s="8"/>
      <c r="B297" s="8"/>
      <c r="C297" s="8"/>
      <c r="D297" s="8"/>
      <c r="E297" s="8"/>
      <c r="F297" s="8"/>
      <c r="G297" s="8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spans="1:31" ht="11.5" x14ac:dyDescent="0.15">
      <c r="A298" s="8"/>
      <c r="B298" s="8"/>
      <c r="C298" s="8"/>
      <c r="D298" s="8"/>
      <c r="E298" s="8"/>
      <c r="F298" s="8"/>
      <c r="G298" s="8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spans="1:31" ht="11.5" x14ac:dyDescent="0.15">
      <c r="A299" s="8"/>
      <c r="B299" s="8"/>
      <c r="C299" s="8"/>
      <c r="D299" s="8"/>
      <c r="E299" s="8"/>
      <c r="F299" s="8"/>
      <c r="G299" s="8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spans="1:31" ht="11.5" x14ac:dyDescent="0.15">
      <c r="A300" s="8"/>
      <c r="B300" s="8"/>
      <c r="C300" s="8"/>
      <c r="D300" s="8"/>
      <c r="E300" s="8"/>
      <c r="F300" s="8"/>
      <c r="G300" s="8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spans="1:31" ht="11.5" x14ac:dyDescent="0.15">
      <c r="A301" s="8"/>
      <c r="B301" s="8"/>
      <c r="C301" s="8"/>
      <c r="D301" s="8"/>
      <c r="E301" s="8"/>
      <c r="F301" s="8"/>
      <c r="G301" s="8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spans="1:31" ht="11.5" x14ac:dyDescent="0.15">
      <c r="A302" s="8"/>
      <c r="B302" s="8"/>
      <c r="C302" s="8"/>
      <c r="D302" s="8"/>
      <c r="E302" s="8"/>
      <c r="F302" s="8"/>
      <c r="G302" s="8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spans="1:31" ht="11.5" x14ac:dyDescent="0.15">
      <c r="A303" s="8"/>
      <c r="B303" s="8"/>
      <c r="C303" s="8"/>
      <c r="D303" s="8"/>
      <c r="E303" s="8"/>
      <c r="F303" s="8"/>
      <c r="G303" s="8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spans="1:31" ht="11.5" x14ac:dyDescent="0.15">
      <c r="A304" s="8"/>
      <c r="B304" s="8"/>
      <c r="C304" s="8"/>
      <c r="D304" s="8"/>
      <c r="E304" s="8"/>
      <c r="F304" s="8"/>
      <c r="G304" s="8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spans="1:31" ht="11.5" x14ac:dyDescent="0.15">
      <c r="A305" s="8"/>
      <c r="B305" s="8"/>
      <c r="C305" s="8"/>
      <c r="D305" s="8"/>
      <c r="E305" s="8"/>
      <c r="F305" s="8"/>
      <c r="G305" s="8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spans="1:31" ht="11.5" x14ac:dyDescent="0.15">
      <c r="A306" s="8"/>
      <c r="B306" s="8"/>
      <c r="C306" s="8"/>
      <c r="D306" s="8"/>
      <c r="E306" s="8"/>
      <c r="F306" s="8"/>
      <c r="G306" s="8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spans="1:31" ht="11.5" x14ac:dyDescent="0.15">
      <c r="A307" s="8"/>
      <c r="B307" s="8"/>
      <c r="C307" s="8"/>
      <c r="D307" s="8"/>
      <c r="E307" s="8"/>
      <c r="F307" s="8"/>
      <c r="G307" s="8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spans="1:31" ht="11.5" x14ac:dyDescent="0.15">
      <c r="A308" s="8"/>
      <c r="B308" s="8"/>
      <c r="C308" s="8"/>
      <c r="D308" s="8"/>
      <c r="E308" s="8"/>
      <c r="F308" s="8"/>
      <c r="G308" s="8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spans="1:31" ht="11.5" x14ac:dyDescent="0.15">
      <c r="A309" s="8"/>
      <c r="B309" s="8"/>
      <c r="C309" s="8"/>
      <c r="D309" s="8"/>
      <c r="E309" s="8"/>
      <c r="F309" s="8"/>
      <c r="G309" s="8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spans="1:31" ht="11.5" x14ac:dyDescent="0.15">
      <c r="A310" s="8"/>
      <c r="B310" s="8"/>
      <c r="C310" s="8"/>
      <c r="D310" s="8"/>
      <c r="E310" s="8"/>
      <c r="F310" s="8"/>
      <c r="G310" s="8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spans="1:31" ht="11.5" x14ac:dyDescent="0.15">
      <c r="A311" s="8"/>
      <c r="B311" s="8"/>
      <c r="C311" s="8"/>
      <c r="D311" s="8"/>
      <c r="E311" s="8"/>
      <c r="F311" s="8"/>
      <c r="G311" s="8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spans="1:31" ht="11.5" x14ac:dyDescent="0.15">
      <c r="A312" s="8"/>
      <c r="B312" s="8"/>
      <c r="C312" s="8"/>
      <c r="D312" s="8"/>
      <c r="E312" s="8"/>
      <c r="F312" s="8"/>
      <c r="G312" s="8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spans="1:31" ht="11.5" x14ac:dyDescent="0.15">
      <c r="A313" s="8"/>
      <c r="B313" s="8"/>
      <c r="C313" s="8"/>
      <c r="D313" s="8"/>
      <c r="E313" s="8"/>
      <c r="F313" s="8"/>
      <c r="G313" s="8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spans="1:31" ht="11.5" x14ac:dyDescent="0.15">
      <c r="A314" s="8"/>
      <c r="B314" s="8"/>
      <c r="C314" s="8"/>
      <c r="D314" s="8"/>
      <c r="E314" s="8"/>
      <c r="F314" s="8"/>
      <c r="G314" s="8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spans="1:31" ht="11.5" x14ac:dyDescent="0.15">
      <c r="A315" s="8"/>
      <c r="B315" s="8"/>
      <c r="C315" s="8"/>
      <c r="D315" s="8"/>
      <c r="E315" s="8"/>
      <c r="F315" s="8"/>
      <c r="G315" s="8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spans="1:31" ht="11.5" x14ac:dyDescent="0.15">
      <c r="A316" s="8"/>
      <c r="B316" s="8"/>
      <c r="C316" s="8"/>
      <c r="D316" s="8"/>
      <c r="E316" s="8"/>
      <c r="F316" s="8"/>
      <c r="G316" s="8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spans="1:31" ht="11.5" x14ac:dyDescent="0.15">
      <c r="A317" s="8"/>
      <c r="B317" s="8"/>
      <c r="C317" s="8"/>
      <c r="D317" s="8"/>
      <c r="E317" s="8"/>
      <c r="F317" s="8"/>
      <c r="G317" s="8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spans="1:31" ht="11.5" x14ac:dyDescent="0.15">
      <c r="A318" s="8"/>
      <c r="B318" s="8"/>
      <c r="C318" s="8"/>
      <c r="D318" s="8"/>
      <c r="E318" s="8"/>
      <c r="F318" s="8"/>
      <c r="G318" s="8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spans="1:31" ht="11.5" x14ac:dyDescent="0.15">
      <c r="A319" s="8"/>
      <c r="B319" s="8"/>
      <c r="C319" s="8"/>
      <c r="D319" s="8"/>
      <c r="E319" s="8"/>
      <c r="F319" s="8"/>
      <c r="G319" s="8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spans="1:31" ht="11.5" x14ac:dyDescent="0.15">
      <c r="A320" s="8"/>
      <c r="B320" s="8"/>
      <c r="C320" s="8"/>
      <c r="D320" s="8"/>
      <c r="E320" s="8"/>
      <c r="F320" s="8"/>
      <c r="G320" s="8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spans="1:31" ht="11.5" x14ac:dyDescent="0.15">
      <c r="A321" s="8"/>
      <c r="B321" s="8"/>
      <c r="C321" s="8"/>
      <c r="D321" s="8"/>
      <c r="E321" s="8"/>
      <c r="F321" s="8"/>
      <c r="G321" s="8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spans="1:31" ht="11.5" x14ac:dyDescent="0.15">
      <c r="A322" s="8"/>
      <c r="B322" s="8"/>
      <c r="C322" s="8"/>
      <c r="D322" s="8"/>
      <c r="E322" s="8"/>
      <c r="F322" s="8"/>
      <c r="G322" s="8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spans="1:31" ht="11.5" x14ac:dyDescent="0.15">
      <c r="A323" s="8"/>
      <c r="B323" s="8"/>
      <c r="C323" s="8"/>
      <c r="D323" s="8"/>
      <c r="E323" s="8"/>
      <c r="F323" s="8"/>
      <c r="G323" s="8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spans="1:31" ht="11.5" x14ac:dyDescent="0.15">
      <c r="A324" s="8"/>
      <c r="B324" s="8"/>
      <c r="C324" s="8"/>
      <c r="D324" s="8"/>
      <c r="E324" s="8"/>
      <c r="F324" s="8"/>
      <c r="G324" s="8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spans="1:31" ht="11.5" x14ac:dyDescent="0.15">
      <c r="A325" s="8"/>
      <c r="B325" s="8"/>
      <c r="C325" s="8"/>
      <c r="D325" s="8"/>
      <c r="E325" s="8"/>
      <c r="F325" s="8"/>
      <c r="G325" s="8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spans="1:31" ht="11.5" x14ac:dyDescent="0.15">
      <c r="A326" s="8"/>
      <c r="B326" s="8"/>
      <c r="C326" s="8"/>
      <c r="D326" s="8"/>
      <c r="E326" s="8"/>
      <c r="F326" s="8"/>
      <c r="G326" s="8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spans="1:31" ht="11.5" x14ac:dyDescent="0.15">
      <c r="A327" s="8"/>
      <c r="B327" s="8"/>
      <c r="C327" s="8"/>
      <c r="D327" s="8"/>
      <c r="E327" s="8"/>
      <c r="F327" s="8"/>
      <c r="G327" s="8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spans="1:31" ht="11.5" x14ac:dyDescent="0.15">
      <c r="A328" s="8"/>
      <c r="B328" s="8"/>
      <c r="C328" s="8"/>
      <c r="D328" s="8"/>
      <c r="E328" s="8"/>
      <c r="F328" s="8"/>
      <c r="G328" s="8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spans="1:31" ht="11.5" x14ac:dyDescent="0.15">
      <c r="A329" s="8"/>
      <c r="B329" s="8"/>
      <c r="C329" s="8"/>
      <c r="D329" s="8"/>
      <c r="E329" s="8"/>
      <c r="F329" s="8"/>
      <c r="G329" s="8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spans="1:31" ht="11.5" x14ac:dyDescent="0.15">
      <c r="A330" s="8"/>
      <c r="B330" s="8"/>
      <c r="C330" s="8"/>
      <c r="D330" s="8"/>
      <c r="E330" s="8"/>
      <c r="F330" s="8"/>
      <c r="G330" s="8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spans="1:31" ht="11.5" x14ac:dyDescent="0.15">
      <c r="A331" s="8"/>
      <c r="B331" s="8"/>
      <c r="C331" s="8"/>
      <c r="D331" s="8"/>
      <c r="E331" s="8"/>
      <c r="F331" s="8"/>
      <c r="G331" s="8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spans="1:31" ht="11.5" x14ac:dyDescent="0.15">
      <c r="A332" s="8"/>
      <c r="B332" s="8"/>
      <c r="C332" s="8"/>
      <c r="D332" s="8"/>
      <c r="E332" s="8"/>
      <c r="F332" s="8"/>
      <c r="G332" s="8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spans="1:31" ht="11.5" x14ac:dyDescent="0.15">
      <c r="A333" s="8"/>
      <c r="B333" s="8"/>
      <c r="C333" s="8"/>
      <c r="D333" s="8"/>
      <c r="E333" s="8"/>
      <c r="F333" s="8"/>
      <c r="G333" s="8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spans="1:31" ht="11.5" x14ac:dyDescent="0.15">
      <c r="A334" s="8"/>
      <c r="B334" s="8"/>
      <c r="C334" s="8"/>
      <c r="D334" s="8"/>
      <c r="E334" s="8"/>
      <c r="F334" s="8"/>
      <c r="G334" s="8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spans="1:31" ht="11.5" x14ac:dyDescent="0.15">
      <c r="A335" s="8"/>
      <c r="B335" s="8"/>
      <c r="C335" s="8"/>
      <c r="D335" s="8"/>
      <c r="E335" s="8"/>
      <c r="F335" s="8"/>
      <c r="G335" s="8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spans="1:31" ht="11.5" x14ac:dyDescent="0.15">
      <c r="A336" s="8"/>
      <c r="B336" s="8"/>
      <c r="C336" s="8"/>
      <c r="D336" s="8"/>
      <c r="E336" s="8"/>
      <c r="F336" s="8"/>
      <c r="G336" s="8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spans="1:31" ht="11.5" x14ac:dyDescent="0.15">
      <c r="A337" s="8"/>
      <c r="B337" s="8"/>
      <c r="C337" s="8"/>
      <c r="D337" s="8"/>
      <c r="E337" s="8"/>
      <c r="F337" s="8"/>
      <c r="G337" s="8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 spans="1:31" ht="11.5" x14ac:dyDescent="0.15">
      <c r="A338" s="8"/>
      <c r="B338" s="8"/>
      <c r="C338" s="8"/>
      <c r="D338" s="8"/>
      <c r="E338" s="8"/>
      <c r="F338" s="8"/>
      <c r="G338" s="8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spans="1:31" ht="11.5" x14ac:dyDescent="0.15">
      <c r="A339" s="8"/>
      <c r="B339" s="8"/>
      <c r="C339" s="8"/>
      <c r="D339" s="8"/>
      <c r="E339" s="8"/>
      <c r="F339" s="8"/>
      <c r="G339" s="8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spans="1:31" ht="11.5" x14ac:dyDescent="0.15">
      <c r="A340" s="8"/>
      <c r="B340" s="8"/>
      <c r="C340" s="8"/>
      <c r="D340" s="8"/>
      <c r="E340" s="8"/>
      <c r="F340" s="8"/>
      <c r="G340" s="8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spans="1:31" ht="11.5" x14ac:dyDescent="0.15">
      <c r="A341" s="8"/>
      <c r="B341" s="8"/>
      <c r="C341" s="8"/>
      <c r="D341" s="8"/>
      <c r="E341" s="8"/>
      <c r="F341" s="8"/>
      <c r="G341" s="8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spans="1:31" ht="11.5" x14ac:dyDescent="0.15">
      <c r="A342" s="8"/>
      <c r="B342" s="8"/>
      <c r="C342" s="8"/>
      <c r="D342" s="8"/>
      <c r="E342" s="8"/>
      <c r="F342" s="8"/>
      <c r="G342" s="8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 spans="1:31" ht="11.5" x14ac:dyDescent="0.15">
      <c r="A343" s="8"/>
      <c r="B343" s="8"/>
      <c r="C343" s="8"/>
      <c r="D343" s="8"/>
      <c r="E343" s="8"/>
      <c r="F343" s="8"/>
      <c r="G343" s="8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spans="1:31" ht="11.5" x14ac:dyDescent="0.15">
      <c r="A344" s="8"/>
      <c r="B344" s="8"/>
      <c r="C344" s="8"/>
      <c r="D344" s="8"/>
      <c r="E344" s="8"/>
      <c r="F344" s="8"/>
      <c r="G344" s="8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spans="1:31" ht="11.5" x14ac:dyDescent="0.15">
      <c r="A345" s="8"/>
      <c r="B345" s="8"/>
      <c r="C345" s="8"/>
      <c r="D345" s="8"/>
      <c r="E345" s="8"/>
      <c r="F345" s="8"/>
      <c r="G345" s="8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spans="1:31" ht="11.5" x14ac:dyDescent="0.15">
      <c r="A346" s="8"/>
      <c r="B346" s="8"/>
      <c r="C346" s="8"/>
      <c r="D346" s="8"/>
      <c r="E346" s="8"/>
      <c r="F346" s="8"/>
      <c r="G346" s="8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spans="1:31" ht="11.5" x14ac:dyDescent="0.15">
      <c r="A347" s="8"/>
      <c r="B347" s="8"/>
      <c r="C347" s="8"/>
      <c r="D347" s="8"/>
      <c r="E347" s="8"/>
      <c r="F347" s="8"/>
      <c r="G347" s="8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 spans="1:31" ht="11.5" x14ac:dyDescent="0.15">
      <c r="A348" s="8"/>
      <c r="B348" s="8"/>
      <c r="C348" s="8"/>
      <c r="D348" s="8"/>
      <c r="E348" s="8"/>
      <c r="F348" s="8"/>
      <c r="G348" s="8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spans="1:31" ht="11.5" x14ac:dyDescent="0.15">
      <c r="A349" s="8"/>
      <c r="B349" s="8"/>
      <c r="C349" s="8"/>
      <c r="D349" s="8"/>
      <c r="E349" s="8"/>
      <c r="F349" s="8"/>
      <c r="G349" s="8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spans="1:31" ht="11.5" x14ac:dyDescent="0.15">
      <c r="A350" s="8"/>
      <c r="B350" s="8"/>
      <c r="C350" s="8"/>
      <c r="D350" s="8"/>
      <c r="E350" s="8"/>
      <c r="F350" s="8"/>
      <c r="G350" s="8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spans="1:31" ht="11.5" x14ac:dyDescent="0.15">
      <c r="A351" s="8"/>
      <c r="B351" s="8"/>
      <c r="C351" s="8"/>
      <c r="D351" s="8"/>
      <c r="E351" s="8"/>
      <c r="F351" s="8"/>
      <c r="G351" s="8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spans="1:31" ht="11.5" x14ac:dyDescent="0.15">
      <c r="A352" s="8"/>
      <c r="B352" s="8"/>
      <c r="C352" s="8"/>
      <c r="D352" s="8"/>
      <c r="E352" s="8"/>
      <c r="F352" s="8"/>
      <c r="G352" s="8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 spans="1:31" ht="11.5" x14ac:dyDescent="0.15">
      <c r="A353" s="8"/>
      <c r="B353" s="8"/>
      <c r="C353" s="8"/>
      <c r="D353" s="8"/>
      <c r="E353" s="8"/>
      <c r="F353" s="8"/>
      <c r="G353" s="8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spans="1:31" ht="11.5" x14ac:dyDescent="0.15">
      <c r="A354" s="8"/>
      <c r="B354" s="8"/>
      <c r="C354" s="8"/>
      <c r="D354" s="8"/>
      <c r="E354" s="8"/>
      <c r="F354" s="8"/>
      <c r="G354" s="8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spans="1:31" ht="11.5" x14ac:dyDescent="0.15">
      <c r="A355" s="8"/>
      <c r="B355" s="8"/>
      <c r="C355" s="8"/>
      <c r="D355" s="8"/>
      <c r="E355" s="8"/>
      <c r="F355" s="8"/>
      <c r="G355" s="8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spans="1:31" ht="11.5" x14ac:dyDescent="0.15">
      <c r="A356" s="8"/>
      <c r="B356" s="8"/>
      <c r="C356" s="8"/>
      <c r="D356" s="8"/>
      <c r="E356" s="8"/>
      <c r="F356" s="8"/>
      <c r="G356" s="8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spans="1:31" ht="11.5" x14ac:dyDescent="0.15">
      <c r="A357" s="8"/>
      <c r="B357" s="8"/>
      <c r="C357" s="8"/>
      <c r="D357" s="8"/>
      <c r="E357" s="8"/>
      <c r="F357" s="8"/>
      <c r="G357" s="8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 spans="1:31" ht="11.5" x14ac:dyDescent="0.15">
      <c r="A358" s="8"/>
      <c r="B358" s="8"/>
      <c r="C358" s="8"/>
      <c r="D358" s="8"/>
      <c r="E358" s="8"/>
      <c r="F358" s="8"/>
      <c r="G358" s="8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spans="1:31" ht="11.5" x14ac:dyDescent="0.15">
      <c r="A359" s="8"/>
      <c r="B359" s="8"/>
      <c r="C359" s="8"/>
      <c r="D359" s="8"/>
      <c r="E359" s="8"/>
      <c r="F359" s="8"/>
      <c r="G359" s="8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spans="1:31" ht="11.5" x14ac:dyDescent="0.15">
      <c r="A360" s="8"/>
      <c r="B360" s="8"/>
      <c r="C360" s="8"/>
      <c r="D360" s="8"/>
      <c r="E360" s="8"/>
      <c r="F360" s="8"/>
      <c r="G360" s="8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spans="1:31" ht="11.5" x14ac:dyDescent="0.15">
      <c r="A361" s="8"/>
      <c r="B361" s="8"/>
      <c r="C361" s="8"/>
      <c r="D361" s="8"/>
      <c r="E361" s="8"/>
      <c r="F361" s="8"/>
      <c r="G361" s="8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spans="1:31" ht="11.5" x14ac:dyDescent="0.15">
      <c r="A362" s="8"/>
      <c r="B362" s="8"/>
      <c r="C362" s="8"/>
      <c r="D362" s="8"/>
      <c r="E362" s="8"/>
      <c r="F362" s="8"/>
      <c r="G362" s="8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 spans="1:31" ht="11.5" x14ac:dyDescent="0.15">
      <c r="A363" s="8"/>
      <c r="B363" s="8"/>
      <c r="C363" s="8"/>
      <c r="D363" s="8"/>
      <c r="E363" s="8"/>
      <c r="F363" s="8"/>
      <c r="G363" s="8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spans="1:31" ht="11.5" x14ac:dyDescent="0.15">
      <c r="A364" s="8"/>
      <c r="B364" s="8"/>
      <c r="C364" s="8"/>
      <c r="D364" s="8"/>
      <c r="E364" s="8"/>
      <c r="F364" s="8"/>
      <c r="G364" s="8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spans="1:31" ht="11.5" x14ac:dyDescent="0.15">
      <c r="A365" s="8"/>
      <c r="B365" s="8"/>
      <c r="C365" s="8"/>
      <c r="D365" s="8"/>
      <c r="E365" s="8"/>
      <c r="F365" s="8"/>
      <c r="G365" s="8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spans="1:31" ht="11.5" x14ac:dyDescent="0.15">
      <c r="A366" s="8"/>
      <c r="B366" s="8"/>
      <c r="C366" s="8"/>
      <c r="D366" s="8"/>
      <c r="E366" s="8"/>
      <c r="F366" s="8"/>
      <c r="G366" s="8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spans="1:31" ht="11.5" x14ac:dyDescent="0.15">
      <c r="A367" s="8"/>
      <c r="B367" s="8"/>
      <c r="C367" s="8"/>
      <c r="D367" s="8"/>
      <c r="E367" s="8"/>
      <c r="F367" s="8"/>
      <c r="G367" s="8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 spans="1:31" ht="11.5" x14ac:dyDescent="0.15">
      <c r="A368" s="8"/>
      <c r="B368" s="8"/>
      <c r="C368" s="8"/>
      <c r="D368" s="8"/>
      <c r="E368" s="8"/>
      <c r="F368" s="8"/>
      <c r="G368" s="8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spans="1:31" ht="11.5" x14ac:dyDescent="0.15">
      <c r="A369" s="8"/>
      <c r="B369" s="8"/>
      <c r="C369" s="8"/>
      <c r="D369" s="8"/>
      <c r="E369" s="8"/>
      <c r="F369" s="8"/>
      <c r="G369" s="8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spans="1:31" ht="11.5" x14ac:dyDescent="0.15">
      <c r="A370" s="8"/>
      <c r="B370" s="8"/>
      <c r="C370" s="8"/>
      <c r="D370" s="8"/>
      <c r="E370" s="8"/>
      <c r="F370" s="8"/>
      <c r="G370" s="8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spans="1:31" ht="11.5" x14ac:dyDescent="0.15">
      <c r="A371" s="8"/>
      <c r="B371" s="8"/>
      <c r="C371" s="8"/>
      <c r="D371" s="8"/>
      <c r="E371" s="8"/>
      <c r="F371" s="8"/>
      <c r="G371" s="8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spans="1:31" ht="11.5" x14ac:dyDescent="0.15">
      <c r="A372" s="8"/>
      <c r="B372" s="8"/>
      <c r="C372" s="8"/>
      <c r="D372" s="8"/>
      <c r="E372" s="8"/>
      <c r="F372" s="8"/>
      <c r="G372" s="8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 spans="1:31" ht="11.5" x14ac:dyDescent="0.15">
      <c r="A373" s="8"/>
      <c r="B373" s="8"/>
      <c r="C373" s="8"/>
      <c r="D373" s="8"/>
      <c r="E373" s="8"/>
      <c r="F373" s="8"/>
      <c r="G373" s="8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spans="1:31" ht="11.5" x14ac:dyDescent="0.15">
      <c r="A374" s="8"/>
      <c r="B374" s="8"/>
      <c r="C374" s="8"/>
      <c r="D374" s="8"/>
      <c r="E374" s="8"/>
      <c r="F374" s="8"/>
      <c r="G374" s="8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spans="1:31" ht="11.5" x14ac:dyDescent="0.15">
      <c r="A375" s="8"/>
      <c r="B375" s="8"/>
      <c r="C375" s="8"/>
      <c r="D375" s="8"/>
      <c r="E375" s="8"/>
      <c r="F375" s="8"/>
      <c r="G375" s="8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spans="1:31" ht="11.5" x14ac:dyDescent="0.15">
      <c r="A376" s="8"/>
      <c r="B376" s="8"/>
      <c r="C376" s="8"/>
      <c r="D376" s="8"/>
      <c r="E376" s="8"/>
      <c r="F376" s="8"/>
      <c r="G376" s="8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spans="1:31" ht="11.5" x14ac:dyDescent="0.15">
      <c r="A377" s="8"/>
      <c r="B377" s="8"/>
      <c r="C377" s="8"/>
      <c r="D377" s="8"/>
      <c r="E377" s="8"/>
      <c r="F377" s="8"/>
      <c r="G377" s="8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 spans="1:31" ht="11.5" x14ac:dyDescent="0.15">
      <c r="A378" s="8"/>
      <c r="B378" s="8"/>
      <c r="C378" s="8"/>
      <c r="D378" s="8"/>
      <c r="E378" s="8"/>
      <c r="F378" s="8"/>
      <c r="G378" s="8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spans="1:31" ht="11.5" x14ac:dyDescent="0.15">
      <c r="A379" s="8"/>
      <c r="B379" s="8"/>
      <c r="C379" s="8"/>
      <c r="D379" s="8"/>
      <c r="E379" s="8"/>
      <c r="F379" s="8"/>
      <c r="G379" s="8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spans="1:31" ht="11.5" x14ac:dyDescent="0.15">
      <c r="A380" s="8"/>
      <c r="B380" s="8"/>
      <c r="C380" s="8"/>
      <c r="D380" s="8"/>
      <c r="E380" s="8"/>
      <c r="F380" s="8"/>
      <c r="G380" s="8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spans="1:31" ht="11.5" x14ac:dyDescent="0.15">
      <c r="A381" s="8"/>
      <c r="B381" s="8"/>
      <c r="C381" s="8"/>
      <c r="D381" s="8"/>
      <c r="E381" s="8"/>
      <c r="F381" s="8"/>
      <c r="G381" s="8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spans="1:31" ht="11.5" x14ac:dyDescent="0.15">
      <c r="A382" s="8"/>
      <c r="B382" s="8"/>
      <c r="C382" s="8"/>
      <c r="D382" s="8"/>
      <c r="E382" s="8"/>
      <c r="F382" s="8"/>
      <c r="G382" s="8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 spans="1:31" ht="11.5" x14ac:dyDescent="0.15">
      <c r="A383" s="8"/>
      <c r="B383" s="8"/>
      <c r="C383" s="8"/>
      <c r="D383" s="8"/>
      <c r="E383" s="8"/>
      <c r="F383" s="8"/>
      <c r="G383" s="8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spans="1:31" ht="11.5" x14ac:dyDescent="0.15">
      <c r="A384" s="8"/>
      <c r="B384" s="8"/>
      <c r="C384" s="8"/>
      <c r="D384" s="8"/>
      <c r="E384" s="8"/>
      <c r="F384" s="8"/>
      <c r="G384" s="8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spans="1:31" ht="11.5" x14ac:dyDescent="0.15">
      <c r="A385" s="8"/>
      <c r="B385" s="8"/>
      <c r="C385" s="8"/>
      <c r="D385" s="8"/>
      <c r="E385" s="8"/>
      <c r="F385" s="8"/>
      <c r="G385" s="8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spans="1:31" ht="11.5" x14ac:dyDescent="0.15">
      <c r="A386" s="8"/>
      <c r="B386" s="8"/>
      <c r="C386" s="8"/>
      <c r="D386" s="8"/>
      <c r="E386" s="8"/>
      <c r="F386" s="8"/>
      <c r="G386" s="8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spans="1:31" ht="11.5" x14ac:dyDescent="0.15">
      <c r="A387" s="8"/>
      <c r="B387" s="8"/>
      <c r="C387" s="8"/>
      <c r="D387" s="8"/>
      <c r="E387" s="8"/>
      <c r="F387" s="8"/>
      <c r="G387" s="8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 spans="1:31" ht="11.5" x14ac:dyDescent="0.15">
      <c r="A388" s="8"/>
      <c r="B388" s="8"/>
      <c r="C388" s="8"/>
      <c r="D388" s="8"/>
      <c r="E388" s="8"/>
      <c r="F388" s="8"/>
      <c r="G388" s="8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spans="1:31" ht="11.5" x14ac:dyDescent="0.15">
      <c r="A389" s="8"/>
      <c r="B389" s="8"/>
      <c r="C389" s="8"/>
      <c r="D389" s="8"/>
      <c r="E389" s="8"/>
      <c r="F389" s="8"/>
      <c r="G389" s="8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spans="1:31" ht="11.5" x14ac:dyDescent="0.15">
      <c r="A390" s="8"/>
      <c r="B390" s="8"/>
      <c r="C390" s="8"/>
      <c r="D390" s="8"/>
      <c r="E390" s="8"/>
      <c r="F390" s="8"/>
      <c r="G390" s="8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spans="1:31" ht="11.5" x14ac:dyDescent="0.15">
      <c r="A391" s="8"/>
      <c r="B391" s="8"/>
      <c r="C391" s="8"/>
      <c r="D391" s="8"/>
      <c r="E391" s="8"/>
      <c r="F391" s="8"/>
      <c r="G391" s="8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spans="1:31" ht="11.5" x14ac:dyDescent="0.15">
      <c r="A392" s="8"/>
      <c r="B392" s="8"/>
      <c r="C392" s="8"/>
      <c r="D392" s="8"/>
      <c r="E392" s="8"/>
      <c r="F392" s="8"/>
      <c r="G392" s="8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 spans="1:31" ht="11.5" x14ac:dyDescent="0.15">
      <c r="A393" s="8"/>
      <c r="B393" s="8"/>
      <c r="C393" s="8"/>
      <c r="D393" s="8"/>
      <c r="E393" s="8"/>
      <c r="F393" s="8"/>
      <c r="G393" s="8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spans="1:31" ht="11.5" x14ac:dyDescent="0.15">
      <c r="A394" s="8"/>
      <c r="B394" s="8"/>
      <c r="C394" s="8"/>
      <c r="D394" s="8"/>
      <c r="E394" s="8"/>
      <c r="F394" s="8"/>
      <c r="G394" s="8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spans="1:31" ht="11.5" x14ac:dyDescent="0.15">
      <c r="A395" s="8"/>
      <c r="B395" s="8"/>
      <c r="C395" s="8"/>
      <c r="D395" s="8"/>
      <c r="E395" s="8"/>
      <c r="F395" s="8"/>
      <c r="G395" s="8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spans="1:31" ht="11.5" x14ac:dyDescent="0.15">
      <c r="A396" s="8"/>
      <c r="B396" s="8"/>
      <c r="C396" s="8"/>
      <c r="D396" s="8"/>
      <c r="E396" s="8"/>
      <c r="F396" s="8"/>
      <c r="G396" s="8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spans="1:31" ht="11.5" x14ac:dyDescent="0.15">
      <c r="A397" s="8"/>
      <c r="B397" s="8"/>
      <c r="C397" s="8"/>
      <c r="D397" s="8"/>
      <c r="E397" s="8"/>
      <c r="F397" s="8"/>
      <c r="G397" s="8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 spans="1:31" ht="11.5" x14ac:dyDescent="0.15">
      <c r="A398" s="8"/>
      <c r="B398" s="8"/>
      <c r="C398" s="8"/>
      <c r="D398" s="8"/>
      <c r="E398" s="8"/>
      <c r="F398" s="8"/>
      <c r="G398" s="8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spans="1:31" ht="11.5" x14ac:dyDescent="0.15">
      <c r="A399" s="8"/>
      <c r="B399" s="8"/>
      <c r="C399" s="8"/>
      <c r="D399" s="8"/>
      <c r="E399" s="8"/>
      <c r="F399" s="8"/>
      <c r="G399" s="8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spans="1:31" ht="11.5" x14ac:dyDescent="0.15">
      <c r="A400" s="8"/>
      <c r="B400" s="8"/>
      <c r="C400" s="8"/>
      <c r="D400" s="8"/>
      <c r="E400" s="8"/>
      <c r="F400" s="8"/>
      <c r="G400" s="8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spans="1:31" ht="11.5" x14ac:dyDescent="0.15">
      <c r="A401" s="8"/>
      <c r="B401" s="8"/>
      <c r="C401" s="8"/>
      <c r="D401" s="8"/>
      <c r="E401" s="8"/>
      <c r="F401" s="8"/>
      <c r="G401" s="8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spans="1:31" ht="11.5" x14ac:dyDescent="0.15">
      <c r="A402" s="8"/>
      <c r="B402" s="8"/>
      <c r="C402" s="8"/>
      <c r="D402" s="8"/>
      <c r="E402" s="8"/>
      <c r="F402" s="8"/>
      <c r="G402" s="8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 spans="1:31" ht="11.5" x14ac:dyDescent="0.15">
      <c r="A403" s="8"/>
      <c r="B403" s="8"/>
      <c r="C403" s="8"/>
      <c r="D403" s="8"/>
      <c r="E403" s="8"/>
      <c r="F403" s="8"/>
      <c r="G403" s="8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spans="1:31" ht="11.5" x14ac:dyDescent="0.15">
      <c r="A404" s="8"/>
      <c r="B404" s="8"/>
      <c r="C404" s="8"/>
      <c r="D404" s="8"/>
      <c r="E404" s="8"/>
      <c r="F404" s="8"/>
      <c r="G404" s="8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spans="1:31" ht="11.5" x14ac:dyDescent="0.15">
      <c r="A405" s="8"/>
      <c r="B405" s="8"/>
      <c r="C405" s="8"/>
      <c r="D405" s="8"/>
      <c r="E405" s="8"/>
      <c r="F405" s="8"/>
      <c r="G405" s="8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spans="1:31" ht="11.5" x14ac:dyDescent="0.15">
      <c r="A406" s="8"/>
      <c r="B406" s="8"/>
      <c r="C406" s="8"/>
      <c r="D406" s="8"/>
      <c r="E406" s="8"/>
      <c r="F406" s="8"/>
      <c r="G406" s="8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spans="1:31" ht="11.5" x14ac:dyDescent="0.15">
      <c r="A407" s="8"/>
      <c r="B407" s="8"/>
      <c r="C407" s="8"/>
      <c r="D407" s="8"/>
      <c r="E407" s="8"/>
      <c r="F407" s="8"/>
      <c r="G407" s="8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 spans="1:31" ht="11.5" x14ac:dyDescent="0.15">
      <c r="A408" s="8"/>
      <c r="B408" s="8"/>
      <c r="C408" s="8"/>
      <c r="D408" s="8"/>
      <c r="E408" s="8"/>
      <c r="F408" s="8"/>
      <c r="G408" s="8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spans="1:31" ht="11.5" x14ac:dyDescent="0.15">
      <c r="A409" s="8"/>
      <c r="B409" s="8"/>
      <c r="C409" s="8"/>
      <c r="D409" s="8"/>
      <c r="E409" s="8"/>
      <c r="F409" s="8"/>
      <c r="G409" s="8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spans="1:31" ht="11.5" x14ac:dyDescent="0.15">
      <c r="A410" s="8"/>
      <c r="B410" s="8"/>
      <c r="C410" s="8"/>
      <c r="D410" s="8"/>
      <c r="E410" s="8"/>
      <c r="F410" s="8"/>
      <c r="G410" s="8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spans="1:31" ht="11.5" x14ac:dyDescent="0.15">
      <c r="A411" s="8"/>
      <c r="B411" s="8"/>
      <c r="C411" s="8"/>
      <c r="D411" s="8"/>
      <c r="E411" s="8"/>
      <c r="F411" s="8"/>
      <c r="G411" s="8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spans="1:31" ht="11.5" x14ac:dyDescent="0.15">
      <c r="A412" s="8"/>
      <c r="B412" s="8"/>
      <c r="C412" s="8"/>
      <c r="D412" s="8"/>
      <c r="E412" s="8"/>
      <c r="F412" s="8"/>
      <c r="G412" s="8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 spans="1:31" ht="11.5" x14ac:dyDescent="0.15">
      <c r="A413" s="8"/>
      <c r="B413" s="8"/>
      <c r="C413" s="8"/>
      <c r="D413" s="8"/>
      <c r="E413" s="8"/>
      <c r="F413" s="8"/>
      <c r="G413" s="8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spans="1:31" ht="11.5" x14ac:dyDescent="0.15">
      <c r="A414" s="8"/>
      <c r="B414" s="8"/>
      <c r="C414" s="8"/>
      <c r="D414" s="8"/>
      <c r="E414" s="8"/>
      <c r="F414" s="8"/>
      <c r="G414" s="8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spans="1:31" ht="11.5" x14ac:dyDescent="0.15">
      <c r="A415" s="8"/>
      <c r="B415" s="8"/>
      <c r="C415" s="8"/>
      <c r="D415" s="8"/>
      <c r="E415" s="8"/>
      <c r="F415" s="8"/>
      <c r="G415" s="8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spans="1:31" ht="11.5" x14ac:dyDescent="0.15">
      <c r="A416" s="8"/>
      <c r="B416" s="8"/>
      <c r="C416" s="8"/>
      <c r="D416" s="8"/>
      <c r="E416" s="8"/>
      <c r="F416" s="8"/>
      <c r="G416" s="8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spans="1:31" ht="11.5" x14ac:dyDescent="0.15">
      <c r="A417" s="8"/>
      <c r="B417" s="8"/>
      <c r="C417" s="8"/>
      <c r="D417" s="8"/>
      <c r="E417" s="8"/>
      <c r="F417" s="8"/>
      <c r="G417" s="8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 spans="1:31" ht="11.5" x14ac:dyDescent="0.15">
      <c r="A418" s="8"/>
      <c r="B418" s="8"/>
      <c r="C418" s="8"/>
      <c r="D418" s="8"/>
      <c r="E418" s="8"/>
      <c r="F418" s="8"/>
      <c r="G418" s="8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spans="1:31" ht="11.5" x14ac:dyDescent="0.15">
      <c r="A419" s="8"/>
      <c r="B419" s="8"/>
      <c r="C419" s="8"/>
      <c r="D419" s="8"/>
      <c r="E419" s="8"/>
      <c r="F419" s="8"/>
      <c r="G419" s="8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spans="1:31" ht="11.5" x14ac:dyDescent="0.15">
      <c r="A420" s="8"/>
      <c r="B420" s="8"/>
      <c r="C420" s="8"/>
      <c r="D420" s="8"/>
      <c r="E420" s="8"/>
      <c r="F420" s="8"/>
      <c r="G420" s="8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spans="1:31" ht="11.5" x14ac:dyDescent="0.15">
      <c r="A421" s="8"/>
      <c r="B421" s="8"/>
      <c r="C421" s="8"/>
      <c r="D421" s="8"/>
      <c r="E421" s="8"/>
      <c r="F421" s="8"/>
      <c r="G421" s="8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spans="1:31" ht="11.5" x14ac:dyDescent="0.15">
      <c r="A422" s="8"/>
      <c r="B422" s="8"/>
      <c r="C422" s="8"/>
      <c r="D422" s="8"/>
      <c r="E422" s="8"/>
      <c r="F422" s="8"/>
      <c r="G422" s="8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 spans="1:31" ht="11.5" x14ac:dyDescent="0.15">
      <c r="A423" s="8"/>
      <c r="B423" s="8"/>
      <c r="C423" s="8"/>
      <c r="D423" s="8"/>
      <c r="E423" s="8"/>
      <c r="F423" s="8"/>
      <c r="G423" s="8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spans="1:31" ht="11.5" x14ac:dyDescent="0.15">
      <c r="A424" s="8"/>
      <c r="B424" s="8"/>
      <c r="C424" s="8"/>
      <c r="D424" s="8"/>
      <c r="E424" s="8"/>
      <c r="F424" s="8"/>
      <c r="G424" s="8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spans="1:31" ht="11.5" x14ac:dyDescent="0.15">
      <c r="A425" s="8"/>
      <c r="B425" s="8"/>
      <c r="C425" s="8"/>
      <c r="D425" s="8"/>
      <c r="E425" s="8"/>
      <c r="F425" s="8"/>
      <c r="G425" s="8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spans="1:31" ht="11.5" x14ac:dyDescent="0.15">
      <c r="A426" s="8"/>
      <c r="B426" s="8"/>
      <c r="C426" s="8"/>
      <c r="D426" s="8"/>
      <c r="E426" s="8"/>
      <c r="F426" s="8"/>
      <c r="G426" s="8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spans="1:31" ht="11.5" x14ac:dyDescent="0.15">
      <c r="A427" s="8"/>
      <c r="B427" s="8"/>
      <c r="C427" s="8"/>
      <c r="D427" s="8"/>
      <c r="E427" s="8"/>
      <c r="F427" s="8"/>
      <c r="G427" s="8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 spans="1:31" ht="11.5" x14ac:dyDescent="0.15">
      <c r="A428" s="8"/>
      <c r="B428" s="8"/>
      <c r="C428" s="8"/>
      <c r="D428" s="8"/>
      <c r="E428" s="8"/>
      <c r="F428" s="8"/>
      <c r="G428" s="8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spans="1:31" ht="11.5" x14ac:dyDescent="0.15">
      <c r="A429" s="8"/>
      <c r="B429" s="8"/>
      <c r="C429" s="8"/>
      <c r="D429" s="8"/>
      <c r="E429" s="8"/>
      <c r="F429" s="8"/>
      <c r="G429" s="8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spans="1:31" ht="11.5" x14ac:dyDescent="0.15">
      <c r="A430" s="8"/>
      <c r="B430" s="8"/>
      <c r="C430" s="8"/>
      <c r="D430" s="8"/>
      <c r="E430" s="8"/>
      <c r="F430" s="8"/>
      <c r="G430" s="8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spans="1:31" ht="11.5" x14ac:dyDescent="0.15">
      <c r="A431" s="8"/>
      <c r="B431" s="8"/>
      <c r="C431" s="8"/>
      <c r="D431" s="8"/>
      <c r="E431" s="8"/>
      <c r="F431" s="8"/>
      <c r="G431" s="8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spans="1:31" ht="11.5" x14ac:dyDescent="0.15">
      <c r="A432" s="8"/>
      <c r="B432" s="8"/>
      <c r="C432" s="8"/>
      <c r="D432" s="8"/>
      <c r="E432" s="8"/>
      <c r="F432" s="8"/>
      <c r="G432" s="8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 spans="1:31" ht="11.5" x14ac:dyDescent="0.15">
      <c r="A433" s="8"/>
      <c r="B433" s="8"/>
      <c r="C433" s="8"/>
      <c r="D433" s="8"/>
      <c r="E433" s="8"/>
      <c r="F433" s="8"/>
      <c r="G433" s="8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spans="1:31" ht="11.5" x14ac:dyDescent="0.15">
      <c r="A434" s="8"/>
      <c r="B434" s="8"/>
      <c r="C434" s="8"/>
      <c r="D434" s="8"/>
      <c r="E434" s="8"/>
      <c r="F434" s="8"/>
      <c r="G434" s="8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spans="1:31" ht="11.5" x14ac:dyDescent="0.15">
      <c r="A435" s="8"/>
      <c r="B435" s="8"/>
      <c r="C435" s="8"/>
      <c r="D435" s="8"/>
      <c r="E435" s="8"/>
      <c r="F435" s="8"/>
      <c r="G435" s="8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spans="1:31" ht="11.5" x14ac:dyDescent="0.15">
      <c r="A436" s="8"/>
      <c r="B436" s="8"/>
      <c r="C436" s="8"/>
      <c r="D436" s="8"/>
      <c r="E436" s="8"/>
      <c r="F436" s="8"/>
      <c r="G436" s="8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spans="1:31" ht="11.5" x14ac:dyDescent="0.15">
      <c r="A437" s="8"/>
      <c r="B437" s="8"/>
      <c r="C437" s="8"/>
      <c r="D437" s="8"/>
      <c r="E437" s="8"/>
      <c r="F437" s="8"/>
      <c r="G437" s="8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 spans="1:31" ht="11.5" x14ac:dyDescent="0.15">
      <c r="A438" s="8"/>
      <c r="B438" s="8"/>
      <c r="C438" s="8"/>
      <c r="D438" s="8"/>
      <c r="E438" s="8"/>
      <c r="F438" s="8"/>
      <c r="G438" s="8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spans="1:31" ht="11.5" x14ac:dyDescent="0.15">
      <c r="A439" s="8"/>
      <c r="B439" s="8"/>
      <c r="C439" s="8"/>
      <c r="D439" s="8"/>
      <c r="E439" s="8"/>
      <c r="F439" s="8"/>
      <c r="G439" s="8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spans="1:31" ht="11.5" x14ac:dyDescent="0.15">
      <c r="A440" s="8"/>
      <c r="B440" s="8"/>
      <c r="C440" s="8"/>
      <c r="D440" s="8"/>
      <c r="E440" s="8"/>
      <c r="F440" s="8"/>
      <c r="G440" s="8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spans="1:31" ht="11.5" x14ac:dyDescent="0.15">
      <c r="A441" s="8"/>
      <c r="B441" s="8"/>
      <c r="C441" s="8"/>
      <c r="D441" s="8"/>
      <c r="E441" s="8"/>
      <c r="F441" s="8"/>
      <c r="G441" s="8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spans="1:31" ht="11.5" x14ac:dyDescent="0.15">
      <c r="A442" s="8"/>
      <c r="B442" s="8"/>
      <c r="C442" s="8"/>
      <c r="D442" s="8"/>
      <c r="E442" s="8"/>
      <c r="F442" s="8"/>
      <c r="G442" s="8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 spans="1:31" ht="11.5" x14ac:dyDescent="0.15">
      <c r="A443" s="8"/>
      <c r="B443" s="8"/>
      <c r="C443" s="8"/>
      <c r="D443" s="8"/>
      <c r="E443" s="8"/>
      <c r="F443" s="8"/>
      <c r="G443" s="8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spans="1:31" ht="11.5" x14ac:dyDescent="0.15">
      <c r="A444" s="8"/>
      <c r="B444" s="8"/>
      <c r="C444" s="8"/>
      <c r="D444" s="8"/>
      <c r="E444" s="8"/>
      <c r="F444" s="8"/>
      <c r="G444" s="8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spans="1:31" ht="11.5" x14ac:dyDescent="0.15">
      <c r="A445" s="8"/>
      <c r="B445" s="8"/>
      <c r="C445" s="8"/>
      <c r="D445" s="8"/>
      <c r="E445" s="8"/>
      <c r="F445" s="8"/>
      <c r="G445" s="8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spans="1:31" ht="11.5" x14ac:dyDescent="0.15">
      <c r="A446" s="8"/>
      <c r="B446" s="8"/>
      <c r="C446" s="8"/>
      <c r="D446" s="8"/>
      <c r="E446" s="8"/>
      <c r="F446" s="8"/>
      <c r="G446" s="8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spans="1:31" ht="11.5" x14ac:dyDescent="0.15">
      <c r="A447" s="8"/>
      <c r="B447" s="8"/>
      <c r="C447" s="8"/>
      <c r="D447" s="8"/>
      <c r="E447" s="8"/>
      <c r="F447" s="8"/>
      <c r="G447" s="8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 spans="1:31" ht="11.5" x14ac:dyDescent="0.15">
      <c r="A448" s="8"/>
      <c r="B448" s="8"/>
      <c r="C448" s="8"/>
      <c r="D448" s="8"/>
      <c r="E448" s="8"/>
      <c r="F448" s="8"/>
      <c r="G448" s="8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spans="1:31" ht="11.5" x14ac:dyDescent="0.15">
      <c r="A449" s="8"/>
      <c r="B449" s="8"/>
      <c r="C449" s="8"/>
      <c r="D449" s="8"/>
      <c r="E449" s="8"/>
      <c r="F449" s="8"/>
      <c r="G449" s="8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spans="1:31" ht="11.5" x14ac:dyDescent="0.15">
      <c r="A450" s="8"/>
      <c r="B450" s="8"/>
      <c r="C450" s="8"/>
      <c r="D450" s="8"/>
      <c r="E450" s="8"/>
      <c r="F450" s="8"/>
      <c r="G450" s="8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spans="1:31" ht="11.5" x14ac:dyDescent="0.15">
      <c r="A451" s="8"/>
      <c r="B451" s="8"/>
      <c r="C451" s="8"/>
      <c r="D451" s="8"/>
      <c r="E451" s="8"/>
      <c r="F451" s="8"/>
      <c r="G451" s="8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spans="1:31" ht="11.5" x14ac:dyDescent="0.15">
      <c r="A452" s="8"/>
      <c r="B452" s="8"/>
      <c r="C452" s="8"/>
      <c r="D452" s="8"/>
      <c r="E452" s="8"/>
      <c r="F452" s="8"/>
      <c r="G452" s="8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 spans="1:31" ht="11.5" x14ac:dyDescent="0.15">
      <c r="A453" s="8"/>
      <c r="B453" s="8"/>
      <c r="C453" s="8"/>
      <c r="D453" s="8"/>
      <c r="E453" s="8"/>
      <c r="F453" s="8"/>
      <c r="G453" s="8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spans="1:31" ht="11.5" x14ac:dyDescent="0.15">
      <c r="A454" s="8"/>
      <c r="B454" s="8"/>
      <c r="C454" s="8"/>
      <c r="D454" s="8"/>
      <c r="E454" s="8"/>
      <c r="F454" s="8"/>
      <c r="G454" s="8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spans="1:31" ht="11.5" x14ac:dyDescent="0.15">
      <c r="A455" s="8"/>
      <c r="B455" s="8"/>
      <c r="C455" s="8"/>
      <c r="D455" s="8"/>
      <c r="E455" s="8"/>
      <c r="F455" s="8"/>
      <c r="G455" s="8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spans="1:31" ht="11.5" x14ac:dyDescent="0.15">
      <c r="A456" s="8"/>
      <c r="B456" s="8"/>
      <c r="C456" s="8"/>
      <c r="D456" s="8"/>
      <c r="E456" s="8"/>
      <c r="F456" s="8"/>
      <c r="G456" s="8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spans="1:31" ht="11.5" x14ac:dyDescent="0.15">
      <c r="A457" s="8"/>
      <c r="B457" s="8"/>
      <c r="C457" s="8"/>
      <c r="D457" s="8"/>
      <c r="E457" s="8"/>
      <c r="F457" s="8"/>
      <c r="G457" s="8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 spans="1:31" ht="11.5" x14ac:dyDescent="0.15">
      <c r="A458" s="8"/>
      <c r="B458" s="8"/>
      <c r="C458" s="8"/>
      <c r="D458" s="8"/>
      <c r="E458" s="8"/>
      <c r="F458" s="8"/>
      <c r="G458" s="8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 spans="1:31" ht="11.5" x14ac:dyDescent="0.15">
      <c r="A459" s="8"/>
      <c r="B459" s="8"/>
      <c r="C459" s="8"/>
      <c r="D459" s="8"/>
      <c r="E459" s="8"/>
      <c r="F459" s="8"/>
      <c r="G459" s="8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spans="1:31" ht="11.5" x14ac:dyDescent="0.15">
      <c r="A460" s="8"/>
      <c r="B460" s="8"/>
      <c r="C460" s="8"/>
      <c r="D460" s="8"/>
      <c r="E460" s="8"/>
      <c r="F460" s="8"/>
      <c r="G460" s="8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spans="1:31" ht="11.5" x14ac:dyDescent="0.15">
      <c r="A461" s="8"/>
      <c r="B461" s="8"/>
      <c r="C461" s="8"/>
      <c r="D461" s="8"/>
      <c r="E461" s="8"/>
      <c r="F461" s="8"/>
      <c r="G461" s="8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spans="1:31" ht="11.5" x14ac:dyDescent="0.15">
      <c r="A462" s="8"/>
      <c r="B462" s="8"/>
      <c r="C462" s="8"/>
      <c r="D462" s="8"/>
      <c r="E462" s="8"/>
      <c r="F462" s="8"/>
      <c r="G462" s="8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 spans="1:31" ht="11.5" x14ac:dyDescent="0.15">
      <c r="A463" s="8"/>
      <c r="B463" s="8"/>
      <c r="C463" s="8"/>
      <c r="D463" s="8"/>
      <c r="E463" s="8"/>
      <c r="F463" s="8"/>
      <c r="G463" s="8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spans="1:31" ht="11.5" x14ac:dyDescent="0.15">
      <c r="A464" s="8"/>
      <c r="B464" s="8"/>
      <c r="C464" s="8"/>
      <c r="D464" s="8"/>
      <c r="E464" s="8"/>
      <c r="F464" s="8"/>
      <c r="G464" s="8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spans="1:31" ht="11.5" x14ac:dyDescent="0.15">
      <c r="A465" s="8"/>
      <c r="B465" s="8"/>
      <c r="C465" s="8"/>
      <c r="D465" s="8"/>
      <c r="E465" s="8"/>
      <c r="F465" s="8"/>
      <c r="G465" s="8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spans="1:31" ht="11.5" x14ac:dyDescent="0.15">
      <c r="A466" s="8"/>
      <c r="B466" s="8"/>
      <c r="C466" s="8"/>
      <c r="D466" s="8"/>
      <c r="E466" s="8"/>
      <c r="F466" s="8"/>
      <c r="G466" s="8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spans="1:31" ht="11.5" x14ac:dyDescent="0.15">
      <c r="A467" s="8"/>
      <c r="B467" s="8"/>
      <c r="C467" s="8"/>
      <c r="D467" s="8"/>
      <c r="E467" s="8"/>
      <c r="F467" s="8"/>
      <c r="G467" s="8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 spans="1:31" ht="11.5" x14ac:dyDescent="0.15">
      <c r="A468" s="8"/>
      <c r="B468" s="8"/>
      <c r="C468" s="8"/>
      <c r="D468" s="8"/>
      <c r="E468" s="8"/>
      <c r="F468" s="8"/>
      <c r="G468" s="8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spans="1:31" ht="11.5" x14ac:dyDescent="0.15">
      <c r="A469" s="8"/>
      <c r="B469" s="8"/>
      <c r="C469" s="8"/>
      <c r="D469" s="8"/>
      <c r="E469" s="8"/>
      <c r="F469" s="8"/>
      <c r="G469" s="8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spans="1:31" ht="11.5" x14ac:dyDescent="0.15">
      <c r="A470" s="8"/>
      <c r="B470" s="8"/>
      <c r="C470" s="8"/>
      <c r="D470" s="8"/>
      <c r="E470" s="8"/>
      <c r="F470" s="8"/>
      <c r="G470" s="8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spans="1:31" ht="11.5" x14ac:dyDescent="0.15">
      <c r="A471" s="8"/>
      <c r="B471" s="8"/>
      <c r="C471" s="8"/>
      <c r="D471" s="8"/>
      <c r="E471" s="8"/>
      <c r="F471" s="8"/>
      <c r="G471" s="8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spans="1:31" ht="11.5" x14ac:dyDescent="0.15">
      <c r="A472" s="8"/>
      <c r="B472" s="8"/>
      <c r="C472" s="8"/>
      <c r="D472" s="8"/>
      <c r="E472" s="8"/>
      <c r="F472" s="8"/>
      <c r="G472" s="8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 spans="1:31" ht="11.5" x14ac:dyDescent="0.15">
      <c r="A473" s="8"/>
      <c r="B473" s="8"/>
      <c r="C473" s="8"/>
      <c r="D473" s="8"/>
      <c r="E473" s="8"/>
      <c r="F473" s="8"/>
      <c r="G473" s="8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spans="1:31" ht="11.5" x14ac:dyDescent="0.15">
      <c r="A474" s="8"/>
      <c r="B474" s="8"/>
      <c r="C474" s="8"/>
      <c r="D474" s="8"/>
      <c r="E474" s="8"/>
      <c r="F474" s="8"/>
      <c r="G474" s="8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spans="1:31" ht="11.5" x14ac:dyDescent="0.15">
      <c r="A475" s="8"/>
      <c r="B475" s="8"/>
      <c r="C475" s="8"/>
      <c r="D475" s="8"/>
      <c r="E475" s="8"/>
      <c r="F475" s="8"/>
      <c r="G475" s="8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spans="1:31" ht="11.5" x14ac:dyDescent="0.15">
      <c r="A476" s="8"/>
      <c r="B476" s="8"/>
      <c r="C476" s="8"/>
      <c r="D476" s="8"/>
      <c r="E476" s="8"/>
      <c r="F476" s="8"/>
      <c r="G476" s="8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spans="1:31" ht="11.5" x14ac:dyDescent="0.15">
      <c r="A477" s="8"/>
      <c r="B477" s="8"/>
      <c r="C477" s="8"/>
      <c r="D477" s="8"/>
      <c r="E477" s="8"/>
      <c r="F477" s="8"/>
      <c r="G477" s="8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 spans="1:31" ht="11.5" x14ac:dyDescent="0.15">
      <c r="A478" s="8"/>
      <c r="B478" s="8"/>
      <c r="C478" s="8"/>
      <c r="D478" s="8"/>
      <c r="E478" s="8"/>
      <c r="F478" s="8"/>
      <c r="G478" s="8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spans="1:31" ht="11.5" x14ac:dyDescent="0.15">
      <c r="A479" s="8"/>
      <c r="B479" s="8"/>
      <c r="C479" s="8"/>
      <c r="D479" s="8"/>
      <c r="E479" s="8"/>
      <c r="F479" s="8"/>
      <c r="G479" s="8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spans="1:31" ht="11.5" x14ac:dyDescent="0.15">
      <c r="A480" s="8"/>
      <c r="B480" s="8"/>
      <c r="C480" s="8"/>
      <c r="D480" s="8"/>
      <c r="E480" s="8"/>
      <c r="F480" s="8"/>
      <c r="G480" s="8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spans="1:31" ht="11.5" x14ac:dyDescent="0.15">
      <c r="A481" s="8"/>
      <c r="B481" s="8"/>
      <c r="C481" s="8"/>
      <c r="D481" s="8"/>
      <c r="E481" s="8"/>
      <c r="F481" s="8"/>
      <c r="G481" s="8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spans="1:31" ht="11.5" x14ac:dyDescent="0.15">
      <c r="A482" s="8"/>
      <c r="B482" s="8"/>
      <c r="C482" s="8"/>
      <c r="D482" s="8"/>
      <c r="E482" s="8"/>
      <c r="F482" s="8"/>
      <c r="G482" s="8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 spans="1:31" ht="11.5" x14ac:dyDescent="0.15">
      <c r="A483" s="7"/>
      <c r="B483" s="7"/>
      <c r="C483" s="7"/>
      <c r="D483" s="8"/>
      <c r="E483" s="8"/>
      <c r="F483" s="8"/>
      <c r="G483" s="8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spans="1:31" ht="11.5" x14ac:dyDescent="0.15">
      <c r="A484" s="7"/>
      <c r="B484" s="7"/>
      <c r="C484" s="7"/>
      <c r="D484" s="8"/>
      <c r="E484" s="8"/>
      <c r="F484" s="8"/>
      <c r="G484" s="8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spans="1:31" ht="11.5" x14ac:dyDescent="0.15">
      <c r="A485" s="7"/>
      <c r="B485" s="7"/>
      <c r="C485" s="7"/>
      <c r="D485" s="8"/>
      <c r="E485" s="8"/>
      <c r="F485" s="8"/>
      <c r="G485" s="8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spans="1:31" ht="11.5" x14ac:dyDescent="0.15">
      <c r="A486" s="7"/>
      <c r="B486" s="7"/>
      <c r="C486" s="7"/>
      <c r="D486" s="8"/>
      <c r="E486" s="8"/>
      <c r="F486" s="8"/>
      <c r="G486" s="8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spans="1:31" ht="11.5" x14ac:dyDescent="0.15">
      <c r="A487" s="7"/>
      <c r="B487" s="7"/>
      <c r="C487" s="7"/>
      <c r="D487" s="8"/>
      <c r="E487" s="8"/>
      <c r="F487" s="8"/>
      <c r="G487" s="8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 spans="1:31" ht="11.5" x14ac:dyDescent="0.15">
      <c r="A488" s="7"/>
      <c r="B488" s="7"/>
      <c r="C488" s="7"/>
      <c r="D488" s="8"/>
      <c r="E488" s="8"/>
      <c r="F488" s="8"/>
      <c r="G488" s="8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spans="1:31" ht="11.5" x14ac:dyDescent="0.15">
      <c r="A489" s="7"/>
      <c r="B489" s="7"/>
      <c r="C489" s="7"/>
      <c r="D489" s="8"/>
      <c r="E489" s="8"/>
      <c r="F489" s="8"/>
      <c r="G489" s="8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spans="1:31" ht="11.5" x14ac:dyDescent="0.15">
      <c r="A490" s="7"/>
      <c r="B490" s="7"/>
      <c r="C490" s="7"/>
      <c r="D490" s="8"/>
      <c r="E490" s="8"/>
      <c r="F490" s="8"/>
      <c r="G490" s="8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spans="1:31" ht="11.5" x14ac:dyDescent="0.15">
      <c r="A491" s="7"/>
      <c r="B491" s="7"/>
      <c r="C491" s="7"/>
      <c r="D491" s="8"/>
      <c r="E491" s="8"/>
      <c r="F491" s="8"/>
      <c r="G491" s="8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spans="1:31" ht="11.5" x14ac:dyDescent="0.15">
      <c r="A492" s="7"/>
      <c r="B492" s="7"/>
      <c r="C492" s="7"/>
      <c r="D492" s="8"/>
      <c r="E492" s="8"/>
      <c r="F492" s="8"/>
      <c r="G492" s="8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 spans="1:31" ht="11.5" x14ac:dyDescent="0.15">
      <c r="A493" s="7"/>
      <c r="B493" s="7"/>
      <c r="C493" s="7"/>
      <c r="D493" s="8"/>
      <c r="E493" s="8"/>
      <c r="F493" s="8"/>
      <c r="G493" s="8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spans="1:31" ht="11.5" x14ac:dyDescent="0.15">
      <c r="A494" s="7"/>
      <c r="B494" s="7"/>
      <c r="C494" s="7"/>
      <c r="D494" s="8"/>
      <c r="E494" s="8"/>
      <c r="F494" s="8"/>
      <c r="G494" s="8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spans="1:31" ht="11.5" x14ac:dyDescent="0.15">
      <c r="A495" s="7"/>
      <c r="B495" s="7"/>
      <c r="C495" s="7"/>
      <c r="D495" s="8"/>
      <c r="E495" s="8"/>
      <c r="F495" s="8"/>
      <c r="G495" s="8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spans="1:31" ht="11.5" x14ac:dyDescent="0.15">
      <c r="A496" s="7"/>
      <c r="B496" s="7"/>
      <c r="C496" s="7"/>
      <c r="D496" s="8"/>
      <c r="E496" s="8"/>
      <c r="F496" s="8"/>
      <c r="G496" s="8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spans="1:31" ht="11.5" x14ac:dyDescent="0.15">
      <c r="A497" s="7"/>
      <c r="B497" s="7"/>
      <c r="C497" s="7"/>
      <c r="D497" s="8"/>
      <c r="E497" s="8"/>
      <c r="F497" s="8"/>
      <c r="G497" s="8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 spans="1:31" ht="11.5" x14ac:dyDescent="0.15">
      <c r="A498" s="7"/>
      <c r="B498" s="7"/>
      <c r="C498" s="7"/>
      <c r="D498" s="8"/>
      <c r="E498" s="8"/>
      <c r="F498" s="8"/>
      <c r="G498" s="8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spans="1:31" ht="11.5" x14ac:dyDescent="0.15">
      <c r="A499" s="7"/>
      <c r="B499" s="7"/>
      <c r="C499" s="7"/>
      <c r="D499" s="8"/>
      <c r="E499" s="8"/>
      <c r="F499" s="8"/>
      <c r="G499" s="8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spans="1:31" ht="11.5" x14ac:dyDescent="0.15">
      <c r="A500" s="7"/>
      <c r="B500" s="7"/>
      <c r="C500" s="7"/>
      <c r="D500" s="8"/>
      <c r="E500" s="8"/>
      <c r="F500" s="8"/>
      <c r="G500" s="8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spans="1:31" ht="11.5" x14ac:dyDescent="0.15">
      <c r="A501" s="7"/>
      <c r="B501" s="7"/>
      <c r="C501" s="7"/>
      <c r="D501" s="8"/>
      <c r="E501" s="8"/>
      <c r="F501" s="8"/>
      <c r="G501" s="8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spans="1:31" ht="11.5" x14ac:dyDescent="0.15">
      <c r="A502" s="7"/>
      <c r="B502" s="7"/>
      <c r="C502" s="7"/>
      <c r="D502" s="8"/>
      <c r="E502" s="8"/>
      <c r="F502" s="8"/>
      <c r="G502" s="8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 spans="1:31" ht="11.5" x14ac:dyDescent="0.15">
      <c r="A503" s="7"/>
      <c r="B503" s="7"/>
      <c r="C503" s="7"/>
      <c r="D503" s="8"/>
      <c r="E503" s="8"/>
      <c r="F503" s="8"/>
      <c r="G503" s="8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spans="1:31" ht="11.5" x14ac:dyDescent="0.15">
      <c r="A504" s="7"/>
      <c r="B504" s="7"/>
      <c r="C504" s="7"/>
      <c r="D504" s="8"/>
      <c r="E504" s="8"/>
      <c r="F504" s="8"/>
      <c r="G504" s="8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spans="1:31" ht="11.5" x14ac:dyDescent="0.15">
      <c r="A505" s="7"/>
      <c r="B505" s="7"/>
      <c r="C505" s="7"/>
      <c r="D505" s="8"/>
      <c r="E505" s="8"/>
      <c r="F505" s="8"/>
      <c r="G505" s="8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spans="1:31" ht="11.5" x14ac:dyDescent="0.15">
      <c r="A506" s="7"/>
      <c r="B506" s="7"/>
      <c r="C506" s="7"/>
      <c r="D506" s="8"/>
      <c r="E506" s="8"/>
      <c r="F506" s="8"/>
      <c r="G506" s="8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spans="1:31" ht="11.5" x14ac:dyDescent="0.15">
      <c r="A507" s="7"/>
      <c r="B507" s="7"/>
      <c r="C507" s="7"/>
      <c r="D507" s="8"/>
      <c r="E507" s="8"/>
      <c r="F507" s="8"/>
      <c r="G507" s="8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 spans="1:31" ht="11.5" x14ac:dyDescent="0.15">
      <c r="A508" s="7"/>
      <c r="B508" s="7"/>
      <c r="C508" s="7"/>
      <c r="D508" s="8"/>
      <c r="E508" s="8"/>
      <c r="F508" s="8"/>
      <c r="G508" s="8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spans="1:31" ht="11.5" x14ac:dyDescent="0.15">
      <c r="A509" s="7"/>
      <c r="B509" s="7"/>
      <c r="C509" s="7"/>
      <c r="D509" s="8"/>
      <c r="E509" s="8"/>
      <c r="F509" s="8"/>
      <c r="G509" s="8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spans="1:31" ht="11.5" x14ac:dyDescent="0.15">
      <c r="A510" s="7"/>
      <c r="B510" s="7"/>
      <c r="C510" s="7"/>
      <c r="D510" s="8"/>
      <c r="E510" s="8"/>
      <c r="F510" s="8"/>
      <c r="G510" s="8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spans="1:31" ht="11.5" x14ac:dyDescent="0.15">
      <c r="A511" s="7"/>
      <c r="B511" s="7"/>
      <c r="C511" s="7"/>
      <c r="D511" s="8"/>
      <c r="E511" s="8"/>
      <c r="F511" s="8"/>
      <c r="G511" s="8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spans="1:31" ht="11.5" x14ac:dyDescent="0.15">
      <c r="A512" s="7"/>
      <c r="B512" s="7"/>
      <c r="C512" s="7"/>
      <c r="D512" s="8"/>
      <c r="E512" s="8"/>
      <c r="F512" s="8"/>
      <c r="G512" s="8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 spans="1:31" ht="11.5" x14ac:dyDescent="0.15">
      <c r="A513" s="7"/>
      <c r="B513" s="7"/>
      <c r="C513" s="7"/>
      <c r="D513" s="8"/>
      <c r="E513" s="8"/>
      <c r="F513" s="8"/>
      <c r="G513" s="8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spans="1:31" ht="11.5" x14ac:dyDescent="0.15">
      <c r="A514" s="7"/>
      <c r="B514" s="7"/>
      <c r="C514" s="7"/>
      <c r="D514" s="8"/>
      <c r="E514" s="8"/>
      <c r="F514" s="8"/>
      <c r="G514" s="8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spans="1:31" ht="11.5" x14ac:dyDescent="0.15">
      <c r="A515" s="7"/>
      <c r="B515" s="7"/>
      <c r="C515" s="7"/>
      <c r="D515" s="8"/>
      <c r="E515" s="8"/>
      <c r="F515" s="8"/>
      <c r="G515" s="8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spans="1:31" ht="11.5" x14ac:dyDescent="0.15">
      <c r="A516" s="7"/>
      <c r="B516" s="7"/>
      <c r="C516" s="7"/>
      <c r="D516" s="8"/>
      <c r="E516" s="8"/>
      <c r="F516" s="8"/>
      <c r="G516" s="8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spans="1:31" ht="11.5" x14ac:dyDescent="0.15">
      <c r="A517" s="7"/>
      <c r="B517" s="7"/>
      <c r="C517" s="7"/>
      <c r="D517" s="8"/>
      <c r="E517" s="8"/>
      <c r="F517" s="8"/>
      <c r="G517" s="8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 spans="1:31" ht="11.5" x14ac:dyDescent="0.15">
      <c r="A518" s="7"/>
      <c r="B518" s="7"/>
      <c r="C518" s="7"/>
      <c r="D518" s="8"/>
      <c r="E518" s="8"/>
      <c r="F518" s="8"/>
      <c r="G518" s="8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spans="1:31" ht="11.5" x14ac:dyDescent="0.15">
      <c r="A519" s="7"/>
      <c r="B519" s="7"/>
      <c r="C519" s="7"/>
      <c r="D519" s="8"/>
      <c r="E519" s="8"/>
      <c r="F519" s="8"/>
      <c r="G519" s="8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spans="1:31" ht="11.5" x14ac:dyDescent="0.15">
      <c r="A520" s="7"/>
      <c r="B520" s="7"/>
      <c r="C520" s="7"/>
      <c r="D520" s="8"/>
      <c r="E520" s="8"/>
      <c r="F520" s="8"/>
      <c r="G520" s="8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spans="1:31" ht="11.5" x14ac:dyDescent="0.15">
      <c r="A521" s="7"/>
      <c r="B521" s="7"/>
      <c r="C521" s="7"/>
      <c r="D521" s="8"/>
      <c r="E521" s="8"/>
      <c r="F521" s="8"/>
      <c r="G521" s="8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spans="1:31" ht="11.5" x14ac:dyDescent="0.15">
      <c r="A522" s="7"/>
      <c r="B522" s="7"/>
      <c r="C522" s="7"/>
      <c r="D522" s="8"/>
      <c r="E522" s="8"/>
      <c r="F522" s="8"/>
      <c r="G522" s="8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 spans="1:31" ht="11.5" x14ac:dyDescent="0.15">
      <c r="A523" s="7"/>
      <c r="B523" s="7"/>
      <c r="C523" s="7"/>
      <c r="D523" s="8"/>
      <c r="E523" s="8"/>
      <c r="F523" s="8"/>
      <c r="G523" s="8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spans="1:31" ht="11.5" x14ac:dyDescent="0.15">
      <c r="A524" s="7"/>
      <c r="B524" s="7"/>
      <c r="C524" s="7"/>
      <c r="D524" s="8"/>
      <c r="E524" s="8"/>
      <c r="F524" s="8"/>
      <c r="G524" s="8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spans="1:31" ht="11.5" x14ac:dyDescent="0.15">
      <c r="A525" s="7"/>
      <c r="B525" s="7"/>
      <c r="C525" s="7"/>
      <c r="D525" s="8"/>
      <c r="E525" s="8"/>
      <c r="F525" s="8"/>
      <c r="G525" s="8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spans="1:31" ht="11.5" x14ac:dyDescent="0.15">
      <c r="A526" s="7"/>
      <c r="B526" s="7"/>
      <c r="C526" s="7"/>
      <c r="D526" s="8"/>
      <c r="E526" s="8"/>
      <c r="F526" s="8"/>
      <c r="G526" s="8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spans="1:31" ht="11.5" x14ac:dyDescent="0.15">
      <c r="A527" s="7"/>
      <c r="B527" s="7"/>
      <c r="C527" s="7"/>
      <c r="D527" s="8"/>
      <c r="E527" s="8"/>
      <c r="F527" s="8"/>
      <c r="G527" s="8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 spans="1:31" ht="11.5" x14ac:dyDescent="0.15">
      <c r="A528" s="7"/>
      <c r="B528" s="7"/>
      <c r="C528" s="7"/>
      <c r="D528" s="8"/>
      <c r="E528" s="8"/>
      <c r="F528" s="8"/>
      <c r="G528" s="8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spans="1:31" ht="11.5" x14ac:dyDescent="0.15">
      <c r="A529" s="7"/>
      <c r="B529" s="7"/>
      <c r="C529" s="7"/>
      <c r="D529" s="8"/>
      <c r="E529" s="8"/>
      <c r="F529" s="8"/>
      <c r="G529" s="8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spans="1:31" ht="11.5" x14ac:dyDescent="0.15">
      <c r="A530" s="7"/>
      <c r="B530" s="7"/>
      <c r="C530" s="7"/>
      <c r="D530" s="8"/>
      <c r="E530" s="8"/>
      <c r="F530" s="8"/>
      <c r="G530" s="8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spans="1:31" ht="11.5" x14ac:dyDescent="0.15">
      <c r="A531" s="7"/>
      <c r="B531" s="7"/>
      <c r="C531" s="7"/>
      <c r="D531" s="8"/>
      <c r="E531" s="8"/>
      <c r="F531" s="8"/>
      <c r="G531" s="8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spans="1:31" ht="11.5" x14ac:dyDescent="0.15">
      <c r="A532" s="7"/>
      <c r="B532" s="7"/>
      <c r="C532" s="7"/>
      <c r="D532" s="8"/>
      <c r="E532" s="8"/>
      <c r="F532" s="8"/>
      <c r="G532" s="8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 spans="1:31" ht="11.5" x14ac:dyDescent="0.15">
      <c r="A533" s="7"/>
      <c r="B533" s="7"/>
      <c r="C533" s="7"/>
      <c r="D533" s="8"/>
      <c r="E533" s="8"/>
      <c r="F533" s="8"/>
      <c r="G533" s="8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spans="1:31" ht="11.5" x14ac:dyDescent="0.15">
      <c r="A534" s="7"/>
      <c r="B534" s="7"/>
      <c r="C534" s="7"/>
      <c r="D534" s="8"/>
      <c r="E534" s="8"/>
      <c r="F534" s="8"/>
      <c r="G534" s="8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spans="1:31" ht="11.5" x14ac:dyDescent="0.15">
      <c r="A535" s="7"/>
      <c r="B535" s="7"/>
      <c r="C535" s="7"/>
      <c r="D535" s="8"/>
      <c r="E535" s="8"/>
      <c r="F535" s="8"/>
      <c r="G535" s="8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spans="1:31" ht="11.5" x14ac:dyDescent="0.15">
      <c r="A536" s="7"/>
      <c r="B536" s="7"/>
      <c r="C536" s="7"/>
      <c r="D536" s="8"/>
      <c r="E536" s="8"/>
      <c r="F536" s="8"/>
      <c r="G536" s="8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spans="1:31" ht="11.5" x14ac:dyDescent="0.15">
      <c r="A537" s="7"/>
      <c r="B537" s="7"/>
      <c r="C537" s="7"/>
      <c r="D537" s="8"/>
      <c r="E537" s="8"/>
      <c r="F537" s="8"/>
      <c r="G537" s="8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 spans="1:31" ht="11.5" x14ac:dyDescent="0.15">
      <c r="A538" s="7"/>
      <c r="B538" s="7"/>
      <c r="C538" s="7"/>
      <c r="D538" s="8"/>
      <c r="E538" s="8"/>
      <c r="F538" s="8"/>
      <c r="G538" s="8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spans="1:31" ht="11.5" x14ac:dyDescent="0.15">
      <c r="A539" s="7"/>
      <c r="B539" s="7"/>
      <c r="C539" s="7"/>
      <c r="D539" s="8"/>
      <c r="E539" s="8"/>
      <c r="F539" s="8"/>
      <c r="G539" s="8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spans="1:31" ht="11.5" x14ac:dyDescent="0.15">
      <c r="A540" s="7"/>
      <c r="B540" s="7"/>
      <c r="C540" s="7"/>
      <c r="D540" s="8"/>
      <c r="E540" s="8"/>
      <c r="F540" s="8"/>
      <c r="G540" s="8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spans="1:31" ht="11.5" x14ac:dyDescent="0.15">
      <c r="A541" s="7"/>
      <c r="B541" s="7"/>
      <c r="C541" s="7"/>
      <c r="D541" s="8"/>
      <c r="E541" s="8"/>
      <c r="F541" s="8"/>
      <c r="G541" s="8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spans="1:31" ht="11.5" x14ac:dyDescent="0.15">
      <c r="A542" s="7"/>
      <c r="B542" s="7"/>
      <c r="C542" s="7"/>
      <c r="D542" s="8"/>
      <c r="E542" s="8"/>
      <c r="F542" s="8"/>
      <c r="G542" s="8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 spans="1:31" ht="11.5" x14ac:dyDescent="0.15">
      <c r="A543" s="7"/>
      <c r="B543" s="7"/>
      <c r="C543" s="7"/>
      <c r="D543" s="8"/>
      <c r="E543" s="8"/>
      <c r="F543" s="8"/>
      <c r="G543" s="8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spans="1:31" ht="11.5" x14ac:dyDescent="0.15">
      <c r="A544" s="7"/>
      <c r="B544" s="7"/>
      <c r="C544" s="7"/>
      <c r="D544" s="8"/>
      <c r="E544" s="8"/>
      <c r="F544" s="8"/>
      <c r="G544" s="8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spans="1:31" ht="11.5" x14ac:dyDescent="0.15">
      <c r="A545" s="7"/>
      <c r="B545" s="7"/>
      <c r="C545" s="7"/>
      <c r="D545" s="8"/>
      <c r="E545" s="8"/>
      <c r="F545" s="8"/>
      <c r="G545" s="8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spans="1:31" ht="11.5" x14ac:dyDescent="0.15">
      <c r="A546" s="7"/>
      <c r="B546" s="7"/>
      <c r="C546" s="7"/>
      <c r="D546" s="8"/>
      <c r="E546" s="8"/>
      <c r="F546" s="8"/>
      <c r="G546" s="8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spans="1:31" ht="11.5" x14ac:dyDescent="0.15">
      <c r="A547" s="7"/>
      <c r="B547" s="7"/>
      <c r="C547" s="7"/>
      <c r="D547" s="8"/>
      <c r="E547" s="8"/>
      <c r="F547" s="8"/>
      <c r="G547" s="8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 spans="1:31" ht="11.5" x14ac:dyDescent="0.15">
      <c r="A548" s="7"/>
      <c r="B548" s="7"/>
      <c r="C548" s="7"/>
      <c r="D548" s="8"/>
      <c r="E548" s="8"/>
      <c r="F548" s="8"/>
      <c r="G548" s="8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spans="1:31" ht="11.5" x14ac:dyDescent="0.15">
      <c r="A549" s="7"/>
      <c r="B549" s="7"/>
      <c r="C549" s="7"/>
      <c r="D549" s="8"/>
      <c r="E549" s="8"/>
      <c r="F549" s="8"/>
      <c r="G549" s="8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spans="1:31" ht="11.5" x14ac:dyDescent="0.15">
      <c r="A550" s="7"/>
      <c r="B550" s="7"/>
      <c r="C550" s="7"/>
      <c r="D550" s="8"/>
      <c r="E550" s="8"/>
      <c r="F550" s="8"/>
      <c r="G550" s="8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spans="1:31" ht="11.5" x14ac:dyDescent="0.15">
      <c r="A551" s="7"/>
      <c r="B551" s="7"/>
      <c r="C551" s="7"/>
      <c r="D551" s="8"/>
      <c r="E551" s="8"/>
      <c r="F551" s="8"/>
      <c r="G551" s="8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spans="1:31" ht="11.5" x14ac:dyDescent="0.15">
      <c r="A552" s="7"/>
      <c r="B552" s="7"/>
      <c r="C552" s="7"/>
      <c r="D552" s="8"/>
      <c r="E552" s="8"/>
      <c r="F552" s="8"/>
      <c r="G552" s="8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 spans="1:31" ht="11.5" x14ac:dyDescent="0.15">
      <c r="A553" s="7"/>
      <c r="B553" s="7"/>
      <c r="C553" s="7"/>
      <c r="D553" s="8"/>
      <c r="E553" s="8"/>
      <c r="F553" s="8"/>
      <c r="G553" s="8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spans="1:31" ht="11.5" x14ac:dyDescent="0.15">
      <c r="A554" s="7"/>
      <c r="B554" s="7"/>
      <c r="C554" s="7"/>
      <c r="D554" s="8"/>
      <c r="E554" s="8"/>
      <c r="F554" s="8"/>
      <c r="G554" s="8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spans="1:31" ht="11.5" x14ac:dyDescent="0.15">
      <c r="A555" s="7"/>
      <c r="B555" s="7"/>
      <c r="C555" s="7"/>
      <c r="D555" s="8"/>
      <c r="E555" s="8"/>
      <c r="F555" s="8"/>
      <c r="G555" s="8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spans="1:31" ht="11.5" x14ac:dyDescent="0.15">
      <c r="A556" s="7"/>
      <c r="B556" s="7"/>
      <c r="C556" s="7"/>
      <c r="D556" s="8"/>
      <c r="E556" s="8"/>
      <c r="F556" s="8"/>
      <c r="G556" s="8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spans="1:31" ht="11.5" x14ac:dyDescent="0.15">
      <c r="A557" s="7"/>
      <c r="B557" s="7"/>
      <c r="C557" s="7"/>
      <c r="D557" s="8"/>
      <c r="E557" s="8"/>
      <c r="F557" s="8"/>
      <c r="G557" s="8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 spans="1:31" ht="11.5" x14ac:dyDescent="0.15">
      <c r="A558" s="7"/>
      <c r="B558" s="7"/>
      <c r="C558" s="7"/>
      <c r="D558" s="8"/>
      <c r="E558" s="8"/>
      <c r="F558" s="8"/>
      <c r="G558" s="8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spans="1:31" ht="11.5" x14ac:dyDescent="0.15">
      <c r="A559" s="7"/>
      <c r="B559" s="7"/>
      <c r="C559" s="7"/>
      <c r="D559" s="8"/>
      <c r="E559" s="8"/>
      <c r="F559" s="8"/>
      <c r="G559" s="8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spans="1:31" ht="11.5" x14ac:dyDescent="0.15">
      <c r="A560" s="7"/>
      <c r="B560" s="7"/>
      <c r="C560" s="7"/>
      <c r="D560" s="8"/>
      <c r="E560" s="8"/>
      <c r="F560" s="8"/>
      <c r="G560" s="8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spans="1:31" ht="11.5" x14ac:dyDescent="0.15">
      <c r="A561" s="7"/>
      <c r="B561" s="7"/>
      <c r="C561" s="7"/>
      <c r="D561" s="8"/>
      <c r="E561" s="8"/>
      <c r="F561" s="8"/>
      <c r="G561" s="8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spans="1:31" ht="11.5" x14ac:dyDescent="0.15">
      <c r="A562" s="7"/>
      <c r="B562" s="7"/>
      <c r="C562" s="7"/>
      <c r="D562" s="8"/>
      <c r="E562" s="8"/>
      <c r="F562" s="8"/>
      <c r="G562" s="8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 spans="1:31" ht="11.5" x14ac:dyDescent="0.15">
      <c r="A563" s="7"/>
      <c r="B563" s="7"/>
      <c r="C563" s="7"/>
      <c r="D563" s="8"/>
      <c r="E563" s="8"/>
      <c r="F563" s="8"/>
      <c r="G563" s="8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spans="1:31" ht="11.5" x14ac:dyDescent="0.15">
      <c r="A564" s="7"/>
      <c r="B564" s="7"/>
      <c r="C564" s="7"/>
      <c r="D564" s="8"/>
      <c r="E564" s="8"/>
      <c r="F564" s="8"/>
      <c r="G564" s="8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spans="1:31" ht="11.5" x14ac:dyDescent="0.15">
      <c r="A565" s="7"/>
      <c r="B565" s="7"/>
      <c r="C565" s="7"/>
      <c r="D565" s="8"/>
      <c r="E565" s="8"/>
      <c r="F565" s="8"/>
      <c r="G565" s="8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spans="1:31" ht="11.5" x14ac:dyDescent="0.15">
      <c r="A566" s="7"/>
      <c r="B566" s="7"/>
      <c r="C566" s="7"/>
      <c r="D566" s="8"/>
      <c r="E566" s="8"/>
      <c r="F566" s="8"/>
      <c r="G566" s="8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spans="1:31" ht="11.5" x14ac:dyDescent="0.15">
      <c r="A567" s="7"/>
      <c r="B567" s="7"/>
      <c r="C567" s="7"/>
      <c r="D567" s="8"/>
      <c r="E567" s="8"/>
      <c r="F567" s="8"/>
      <c r="G567" s="8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 spans="1:31" ht="11.5" x14ac:dyDescent="0.15">
      <c r="A568" s="7"/>
      <c r="B568" s="7"/>
      <c r="C568" s="7"/>
      <c r="D568" s="8"/>
      <c r="E568" s="8"/>
      <c r="F568" s="8"/>
      <c r="G568" s="8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spans="1:31" ht="11.5" x14ac:dyDescent="0.15">
      <c r="A569" s="7"/>
      <c r="B569" s="7"/>
      <c r="C569" s="7"/>
      <c r="D569" s="8"/>
      <c r="E569" s="8"/>
      <c r="F569" s="8"/>
      <c r="G569" s="8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spans="1:31" ht="11.5" x14ac:dyDescent="0.15">
      <c r="A570" s="7"/>
      <c r="B570" s="7"/>
      <c r="C570" s="7"/>
      <c r="D570" s="8"/>
      <c r="E570" s="8"/>
      <c r="F570" s="8"/>
      <c r="G570" s="8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spans="1:31" ht="11.5" x14ac:dyDescent="0.15">
      <c r="A571" s="7"/>
      <c r="B571" s="7"/>
      <c r="C571" s="7"/>
      <c r="D571" s="8"/>
      <c r="E571" s="8"/>
      <c r="F571" s="8"/>
      <c r="G571" s="8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spans="1:31" ht="11.5" x14ac:dyDescent="0.15">
      <c r="A572" s="7"/>
      <c r="B572" s="7"/>
      <c r="C572" s="7"/>
      <c r="D572" s="8"/>
      <c r="E572" s="8"/>
      <c r="F572" s="8"/>
      <c r="G572" s="8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 spans="1:31" ht="11.5" x14ac:dyDescent="0.15">
      <c r="A573" s="7"/>
      <c r="B573" s="7"/>
      <c r="C573" s="7"/>
      <c r="D573" s="8"/>
      <c r="E573" s="8"/>
      <c r="F573" s="8"/>
      <c r="G573" s="8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spans="1:31" ht="11.5" x14ac:dyDescent="0.15">
      <c r="A574" s="7"/>
      <c r="B574" s="7"/>
      <c r="C574" s="7"/>
      <c r="D574" s="8"/>
      <c r="E574" s="8"/>
      <c r="F574" s="8"/>
      <c r="G574" s="8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spans="1:31" ht="11.5" x14ac:dyDescent="0.15">
      <c r="A575" s="7"/>
      <c r="B575" s="7"/>
      <c r="C575" s="7"/>
      <c r="D575" s="8"/>
      <c r="E575" s="8"/>
      <c r="F575" s="8"/>
      <c r="G575" s="8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spans="1:31" ht="11.5" x14ac:dyDescent="0.15">
      <c r="A576" s="7"/>
      <c r="B576" s="7"/>
      <c r="C576" s="7"/>
      <c r="D576" s="8"/>
      <c r="E576" s="8"/>
      <c r="F576" s="8"/>
      <c r="G576" s="8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spans="1:31" ht="11.5" x14ac:dyDescent="0.15">
      <c r="A577" s="7"/>
      <c r="B577" s="7"/>
      <c r="C577" s="7"/>
      <c r="D577" s="8"/>
      <c r="E577" s="8"/>
      <c r="F577" s="8"/>
      <c r="G577" s="8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 spans="1:31" ht="11.5" x14ac:dyDescent="0.15">
      <c r="A578" s="7"/>
      <c r="B578" s="7"/>
      <c r="C578" s="7"/>
      <c r="D578" s="8"/>
      <c r="E578" s="8"/>
      <c r="F578" s="8"/>
      <c r="G578" s="8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spans="1:31" ht="11.5" x14ac:dyDescent="0.15">
      <c r="A579" s="7"/>
      <c r="B579" s="7"/>
      <c r="C579" s="7"/>
      <c r="D579" s="8"/>
      <c r="E579" s="8"/>
      <c r="F579" s="8"/>
      <c r="G579" s="8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spans="1:31" ht="11.5" x14ac:dyDescent="0.15">
      <c r="A580" s="7"/>
      <c r="B580" s="7"/>
      <c r="C580" s="7"/>
      <c r="D580" s="8"/>
      <c r="E580" s="8"/>
      <c r="F580" s="8"/>
      <c r="G580" s="8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spans="1:31" ht="11.5" x14ac:dyDescent="0.15">
      <c r="A581" s="7"/>
      <c r="B581" s="7"/>
      <c r="C581" s="7"/>
      <c r="D581" s="8"/>
      <c r="E581" s="8"/>
      <c r="F581" s="8"/>
      <c r="G581" s="8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spans="1:31" ht="11.5" x14ac:dyDescent="0.15">
      <c r="A582" s="7"/>
      <c r="B582" s="7"/>
      <c r="C582" s="7"/>
      <c r="D582" s="8"/>
      <c r="E582" s="8"/>
      <c r="F582" s="8"/>
      <c r="G582" s="8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 spans="1:31" ht="11.5" x14ac:dyDescent="0.15">
      <c r="A583" s="7"/>
      <c r="B583" s="7"/>
      <c r="C583" s="7"/>
      <c r="D583" s="8"/>
      <c r="E583" s="8"/>
      <c r="F583" s="8"/>
      <c r="G583" s="8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spans="1:31" ht="11.5" x14ac:dyDescent="0.15">
      <c r="A584" s="7"/>
      <c r="B584" s="7"/>
      <c r="C584" s="7"/>
      <c r="D584" s="8"/>
      <c r="E584" s="8"/>
      <c r="F584" s="8"/>
      <c r="G584" s="8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spans="1:31" ht="11.5" x14ac:dyDescent="0.15">
      <c r="A585" s="7"/>
      <c r="B585" s="7"/>
      <c r="C585" s="7"/>
      <c r="D585" s="8"/>
      <c r="E585" s="8"/>
      <c r="F585" s="8"/>
      <c r="G585" s="8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spans="1:31" ht="11.5" x14ac:dyDescent="0.15">
      <c r="A586" s="7"/>
      <c r="B586" s="7"/>
      <c r="C586" s="7"/>
      <c r="D586" s="8"/>
      <c r="E586" s="8"/>
      <c r="F586" s="8"/>
      <c r="G586" s="8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spans="1:31" ht="11.5" x14ac:dyDescent="0.15">
      <c r="A587" s="7"/>
      <c r="B587" s="7"/>
      <c r="C587" s="7"/>
      <c r="D587" s="8"/>
      <c r="E587" s="8"/>
      <c r="F587" s="8"/>
      <c r="G587" s="8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 spans="1:31" ht="11.5" x14ac:dyDescent="0.15">
      <c r="A588" s="7"/>
      <c r="B588" s="7"/>
      <c r="C588" s="7"/>
      <c r="D588" s="8"/>
      <c r="E588" s="8"/>
      <c r="F588" s="8"/>
      <c r="G588" s="8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spans="1:31" ht="11.5" x14ac:dyDescent="0.15">
      <c r="A589" s="7"/>
      <c r="B589" s="7"/>
      <c r="C589" s="7"/>
      <c r="D589" s="8"/>
      <c r="E589" s="8"/>
      <c r="F589" s="8"/>
      <c r="G589" s="8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spans="1:31" ht="11.5" x14ac:dyDescent="0.15">
      <c r="A590" s="7"/>
      <c r="B590" s="7"/>
      <c r="C590" s="7"/>
      <c r="D590" s="8"/>
      <c r="E590" s="8"/>
      <c r="F590" s="8"/>
      <c r="G590" s="8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spans="1:31" ht="11.5" x14ac:dyDescent="0.15">
      <c r="A591" s="7"/>
      <c r="B591" s="7"/>
      <c r="C591" s="7"/>
      <c r="D591" s="8"/>
      <c r="E591" s="8"/>
      <c r="F591" s="8"/>
      <c r="G591" s="8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spans="1:31" ht="11.5" x14ac:dyDescent="0.15">
      <c r="A592" s="7"/>
      <c r="B592" s="7"/>
      <c r="C592" s="7"/>
      <c r="D592" s="8"/>
      <c r="E592" s="8"/>
      <c r="F592" s="8"/>
      <c r="G592" s="8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 spans="1:31" ht="11.5" x14ac:dyDescent="0.15">
      <c r="A593" s="7"/>
      <c r="B593" s="7"/>
      <c r="C593" s="7"/>
      <c r="D593" s="8"/>
      <c r="E593" s="8"/>
      <c r="F593" s="8"/>
      <c r="G593" s="8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spans="1:31" ht="11.5" x14ac:dyDescent="0.15">
      <c r="A594" s="7"/>
      <c r="B594" s="7"/>
      <c r="C594" s="7"/>
      <c r="D594" s="8"/>
      <c r="E594" s="8"/>
      <c r="F594" s="8"/>
      <c r="G594" s="8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spans="1:31" ht="11.5" x14ac:dyDescent="0.15">
      <c r="A595" s="7"/>
      <c r="B595" s="7"/>
      <c r="C595" s="7"/>
      <c r="D595" s="8"/>
      <c r="E595" s="8"/>
      <c r="F595" s="8"/>
      <c r="G595" s="8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spans="1:31" ht="11.5" x14ac:dyDescent="0.15">
      <c r="A596" s="7"/>
      <c r="B596" s="7"/>
      <c r="C596" s="7"/>
      <c r="D596" s="8"/>
      <c r="E596" s="8"/>
      <c r="F596" s="8"/>
      <c r="G596" s="8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spans="1:31" ht="11.5" x14ac:dyDescent="0.15">
      <c r="A597" s="7"/>
      <c r="B597" s="7"/>
      <c r="C597" s="7"/>
      <c r="D597" s="8"/>
      <c r="E597" s="8"/>
      <c r="F597" s="8"/>
      <c r="G597" s="8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 spans="1:31" ht="11.5" x14ac:dyDescent="0.15">
      <c r="A598" s="7"/>
      <c r="B598" s="7"/>
      <c r="C598" s="7"/>
      <c r="D598" s="8"/>
      <c r="E598" s="8"/>
      <c r="F598" s="8"/>
      <c r="G598" s="8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spans="1:31" ht="11.5" x14ac:dyDescent="0.15">
      <c r="A599" s="7"/>
      <c r="B599" s="7"/>
      <c r="C599" s="7"/>
      <c r="D599" s="8"/>
      <c r="E599" s="8"/>
      <c r="F599" s="8"/>
      <c r="G599" s="8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spans="1:31" ht="11.5" x14ac:dyDescent="0.15">
      <c r="A600" s="7"/>
      <c r="B600" s="7"/>
      <c r="C600" s="7"/>
      <c r="D600" s="8"/>
      <c r="E600" s="8"/>
      <c r="F600" s="8"/>
      <c r="G600" s="8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spans="1:31" ht="11.5" x14ac:dyDescent="0.15">
      <c r="A601" s="7"/>
      <c r="B601" s="7"/>
      <c r="C601" s="7"/>
      <c r="D601" s="8"/>
      <c r="E601" s="8"/>
      <c r="F601" s="8"/>
      <c r="G601" s="8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spans="1:31" ht="11.5" x14ac:dyDescent="0.15">
      <c r="A602" s="7"/>
      <c r="B602" s="7"/>
      <c r="C602" s="7"/>
      <c r="D602" s="8"/>
      <c r="E602" s="8"/>
      <c r="F602" s="8"/>
      <c r="G602" s="8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 spans="1:31" ht="11.5" x14ac:dyDescent="0.15">
      <c r="A603" s="7"/>
      <c r="B603" s="7"/>
      <c r="C603" s="7"/>
      <c r="D603" s="8"/>
      <c r="E603" s="8"/>
      <c r="F603" s="8"/>
      <c r="G603" s="8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spans="1:31" ht="11.5" x14ac:dyDescent="0.15">
      <c r="A604" s="7"/>
      <c r="B604" s="7"/>
      <c r="C604" s="7"/>
      <c r="D604" s="8"/>
      <c r="E604" s="8"/>
      <c r="F604" s="8"/>
      <c r="G604" s="8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spans="1:31" ht="11.5" x14ac:dyDescent="0.15">
      <c r="A605" s="7"/>
      <c r="B605" s="7"/>
      <c r="C605" s="7"/>
      <c r="D605" s="8"/>
      <c r="E605" s="8"/>
      <c r="F605" s="8"/>
      <c r="G605" s="8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spans="1:31" ht="11.5" x14ac:dyDescent="0.15">
      <c r="A606" s="7"/>
      <c r="B606" s="7"/>
      <c r="C606" s="7"/>
      <c r="D606" s="8"/>
      <c r="E606" s="8"/>
      <c r="F606" s="8"/>
      <c r="G606" s="8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spans="1:31" ht="11.5" x14ac:dyDescent="0.15">
      <c r="A607" s="7"/>
      <c r="B607" s="7"/>
      <c r="C607" s="7"/>
      <c r="D607" s="8"/>
      <c r="E607" s="8"/>
      <c r="F607" s="8"/>
      <c r="G607" s="8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 spans="1:31" ht="11.5" x14ac:dyDescent="0.15">
      <c r="A608" s="7"/>
      <c r="B608" s="7"/>
      <c r="C608" s="7"/>
      <c r="D608" s="8"/>
      <c r="E608" s="8"/>
      <c r="F608" s="8"/>
      <c r="G608" s="8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spans="1:31" ht="11.5" x14ac:dyDescent="0.15">
      <c r="A609" s="7"/>
      <c r="B609" s="7"/>
      <c r="C609" s="7"/>
      <c r="D609" s="8"/>
      <c r="E609" s="8"/>
      <c r="F609" s="8"/>
      <c r="G609" s="8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spans="1:31" ht="11.5" x14ac:dyDescent="0.15">
      <c r="A610" s="7"/>
      <c r="B610" s="7"/>
      <c r="C610" s="7"/>
      <c r="D610" s="8"/>
      <c r="E610" s="8"/>
      <c r="F610" s="8"/>
      <c r="G610" s="8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spans="1:31" ht="11.5" x14ac:dyDescent="0.15">
      <c r="A611" s="7"/>
      <c r="B611" s="7"/>
      <c r="C611" s="7"/>
      <c r="D611" s="8"/>
      <c r="E611" s="8"/>
      <c r="F611" s="8"/>
      <c r="G611" s="8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spans="1:31" ht="11.5" x14ac:dyDescent="0.15">
      <c r="A612" s="7"/>
      <c r="B612" s="7"/>
      <c r="C612" s="7"/>
      <c r="D612" s="8"/>
      <c r="E612" s="8"/>
      <c r="F612" s="8"/>
      <c r="G612" s="8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 spans="1:31" ht="11.5" x14ac:dyDescent="0.15">
      <c r="A613" s="7"/>
      <c r="B613" s="7"/>
      <c r="C613" s="7"/>
      <c r="D613" s="8"/>
      <c r="E613" s="8"/>
      <c r="F613" s="8"/>
      <c r="G613" s="8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spans="1:31" ht="11.5" x14ac:dyDescent="0.15">
      <c r="A614" s="7"/>
      <c r="B614" s="7"/>
      <c r="C614" s="7"/>
      <c r="D614" s="8"/>
      <c r="E614" s="8"/>
      <c r="F614" s="8"/>
      <c r="G614" s="8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spans="1:31" ht="11.5" x14ac:dyDescent="0.15">
      <c r="A615" s="7"/>
      <c r="B615" s="7"/>
      <c r="C615" s="7"/>
      <c r="D615" s="8"/>
      <c r="E615" s="8"/>
      <c r="F615" s="8"/>
      <c r="G615" s="8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spans="1:31" ht="11.5" x14ac:dyDescent="0.15">
      <c r="A616" s="7"/>
      <c r="B616" s="7"/>
      <c r="C616" s="7"/>
      <c r="D616" s="8"/>
      <c r="E616" s="8"/>
      <c r="F616" s="8"/>
      <c r="G616" s="8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spans="1:31" ht="11.5" x14ac:dyDescent="0.15">
      <c r="A617" s="7"/>
      <c r="B617" s="7"/>
      <c r="C617" s="7"/>
      <c r="D617" s="8"/>
      <c r="E617" s="8"/>
      <c r="F617" s="8"/>
      <c r="G617" s="8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 spans="1:31" ht="11.5" x14ac:dyDescent="0.15">
      <c r="A618" s="7"/>
      <c r="B618" s="7"/>
      <c r="C618" s="7"/>
      <c r="D618" s="8"/>
      <c r="E618" s="8"/>
      <c r="F618" s="8"/>
      <c r="G618" s="8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spans="1:31" ht="11.5" x14ac:dyDescent="0.15">
      <c r="A619" s="7"/>
      <c r="B619" s="7"/>
      <c r="C619" s="7"/>
      <c r="D619" s="8"/>
      <c r="E619" s="8"/>
      <c r="F619" s="8"/>
      <c r="G619" s="8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spans="1:31" ht="11.5" x14ac:dyDescent="0.15">
      <c r="A620" s="7"/>
      <c r="B620" s="7"/>
      <c r="C620" s="7"/>
      <c r="D620" s="8"/>
      <c r="E620" s="8"/>
      <c r="F620" s="8"/>
      <c r="G620" s="8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spans="1:31" ht="11.5" x14ac:dyDescent="0.15">
      <c r="A621" s="7"/>
      <c r="B621" s="7"/>
      <c r="C621" s="7"/>
      <c r="D621" s="8"/>
      <c r="E621" s="8"/>
      <c r="F621" s="8"/>
      <c r="G621" s="8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spans="1:31" ht="11.5" x14ac:dyDescent="0.15">
      <c r="A622" s="7"/>
      <c r="B622" s="7"/>
      <c r="C622" s="7"/>
      <c r="D622" s="8"/>
      <c r="E622" s="8"/>
      <c r="F622" s="8"/>
      <c r="G622" s="8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 spans="1:31" ht="11.5" x14ac:dyDescent="0.15">
      <c r="A623" s="7"/>
      <c r="B623" s="7"/>
      <c r="C623" s="7"/>
      <c r="D623" s="8"/>
      <c r="E623" s="8"/>
      <c r="F623" s="8"/>
      <c r="G623" s="8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spans="1:31" ht="11.5" x14ac:dyDescent="0.15">
      <c r="A624" s="7"/>
      <c r="B624" s="7"/>
      <c r="C624" s="7"/>
      <c r="D624" s="8"/>
      <c r="E624" s="8"/>
      <c r="F624" s="8"/>
      <c r="G624" s="8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spans="1:31" ht="11.5" x14ac:dyDescent="0.15">
      <c r="A625" s="7"/>
      <c r="B625" s="7"/>
      <c r="C625" s="7"/>
      <c r="D625" s="8"/>
      <c r="E625" s="8"/>
      <c r="F625" s="8"/>
      <c r="G625" s="8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spans="1:31" ht="11.5" x14ac:dyDescent="0.15">
      <c r="A626" s="7"/>
      <c r="B626" s="7"/>
      <c r="C626" s="7"/>
      <c r="D626" s="8"/>
      <c r="E626" s="8"/>
      <c r="F626" s="8"/>
      <c r="G626" s="8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spans="1:31" ht="11.5" x14ac:dyDescent="0.15">
      <c r="A627" s="7"/>
      <c r="B627" s="7"/>
      <c r="C627" s="7"/>
      <c r="D627" s="8"/>
      <c r="E627" s="8"/>
      <c r="F627" s="8"/>
      <c r="G627" s="8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 spans="1:31" ht="11.5" x14ac:dyDescent="0.15">
      <c r="A628" s="7"/>
      <c r="B628" s="7"/>
      <c r="C628" s="7"/>
      <c r="D628" s="8"/>
      <c r="E628" s="8"/>
      <c r="F628" s="8"/>
      <c r="G628" s="8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spans="1:31" ht="11.5" x14ac:dyDescent="0.15">
      <c r="A629" s="7"/>
      <c r="B629" s="7"/>
      <c r="C629" s="7"/>
      <c r="D629" s="8"/>
      <c r="E629" s="8"/>
      <c r="F629" s="8"/>
      <c r="G629" s="8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spans="1:31" ht="11.5" x14ac:dyDescent="0.15">
      <c r="A630" s="7"/>
      <c r="B630" s="7"/>
      <c r="C630" s="7"/>
      <c r="D630" s="8"/>
      <c r="E630" s="8"/>
      <c r="F630" s="8"/>
      <c r="G630" s="8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spans="1:31" ht="11.5" x14ac:dyDescent="0.15">
      <c r="A631" s="7"/>
      <c r="B631" s="7"/>
      <c r="C631" s="7"/>
      <c r="D631" s="8"/>
      <c r="E631" s="8"/>
      <c r="F631" s="8"/>
      <c r="G631" s="8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spans="1:31" ht="11.5" x14ac:dyDescent="0.15">
      <c r="A632" s="7"/>
      <c r="B632" s="7"/>
      <c r="C632" s="7"/>
      <c r="D632" s="8"/>
      <c r="E632" s="8"/>
      <c r="F632" s="8"/>
      <c r="G632" s="8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 spans="1:31" ht="11.5" x14ac:dyDescent="0.15">
      <c r="A633" s="7"/>
      <c r="B633" s="7"/>
      <c r="C633" s="7"/>
      <c r="D633" s="8"/>
      <c r="E633" s="8"/>
      <c r="F633" s="8"/>
      <c r="G633" s="8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spans="1:31" ht="11.5" x14ac:dyDescent="0.15">
      <c r="A634" s="7"/>
      <c r="B634" s="7"/>
      <c r="C634" s="7"/>
      <c r="D634" s="8"/>
      <c r="E634" s="8"/>
      <c r="F634" s="8"/>
      <c r="G634" s="8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spans="1:31" ht="11.5" x14ac:dyDescent="0.15">
      <c r="A635" s="7"/>
      <c r="B635" s="7"/>
      <c r="C635" s="7"/>
      <c r="D635" s="8"/>
      <c r="E635" s="8"/>
      <c r="F635" s="8"/>
      <c r="G635" s="8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spans="1:31" ht="11.5" x14ac:dyDescent="0.15">
      <c r="A636" s="7"/>
      <c r="B636" s="7"/>
      <c r="C636" s="7"/>
      <c r="D636" s="8"/>
      <c r="E636" s="8"/>
      <c r="F636" s="8"/>
      <c r="G636" s="8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spans="1:31" ht="11.5" x14ac:dyDescent="0.15">
      <c r="A637" s="7"/>
      <c r="B637" s="7"/>
      <c r="C637" s="7"/>
      <c r="D637" s="8"/>
      <c r="E637" s="8"/>
      <c r="F637" s="8"/>
      <c r="G637" s="8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 spans="1:31" ht="11.5" x14ac:dyDescent="0.15">
      <c r="A638" s="7"/>
      <c r="B638" s="7"/>
      <c r="C638" s="7"/>
      <c r="D638" s="8"/>
      <c r="E638" s="8"/>
      <c r="F638" s="8"/>
      <c r="G638" s="8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spans="1:31" ht="11.5" x14ac:dyDescent="0.15">
      <c r="A639" s="7"/>
      <c r="B639" s="7"/>
      <c r="C639" s="7"/>
      <c r="D639" s="8"/>
      <c r="E639" s="8"/>
      <c r="F639" s="8"/>
      <c r="G639" s="8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spans="1:31" ht="11.5" x14ac:dyDescent="0.15">
      <c r="A640" s="7"/>
      <c r="B640" s="7"/>
      <c r="C640" s="7"/>
      <c r="D640" s="8"/>
      <c r="E640" s="8"/>
      <c r="F640" s="8"/>
      <c r="G640" s="8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spans="1:31" ht="11.5" x14ac:dyDescent="0.15">
      <c r="A641" s="7"/>
      <c r="B641" s="7"/>
      <c r="C641" s="7"/>
      <c r="D641" s="8"/>
      <c r="E641" s="8"/>
      <c r="F641" s="8"/>
      <c r="G641" s="8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spans="1:31" ht="11.5" x14ac:dyDescent="0.15">
      <c r="A642" s="7"/>
      <c r="B642" s="7"/>
      <c r="C642" s="7"/>
      <c r="D642" s="8"/>
      <c r="E642" s="8"/>
      <c r="F642" s="8"/>
      <c r="G642" s="8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 spans="1:31" ht="11.5" x14ac:dyDescent="0.15">
      <c r="A643" s="7"/>
      <c r="B643" s="7"/>
      <c r="C643" s="7"/>
      <c r="D643" s="8"/>
      <c r="E643" s="8"/>
      <c r="F643" s="8"/>
      <c r="G643" s="8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spans="1:31" ht="11.5" x14ac:dyDescent="0.15">
      <c r="A644" s="7"/>
      <c r="B644" s="7"/>
      <c r="C644" s="7"/>
      <c r="D644" s="8"/>
      <c r="E644" s="8"/>
      <c r="F644" s="8"/>
      <c r="G644" s="8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spans="1:31" ht="11.5" x14ac:dyDescent="0.15">
      <c r="A645" s="7"/>
      <c r="B645" s="7"/>
      <c r="C645" s="7"/>
      <c r="D645" s="8"/>
      <c r="E645" s="8"/>
      <c r="F645" s="8"/>
      <c r="G645" s="8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spans="1:31" ht="11.5" x14ac:dyDescent="0.15">
      <c r="A646" s="7"/>
      <c r="B646" s="7"/>
      <c r="C646" s="7"/>
      <c r="D646" s="8"/>
      <c r="E646" s="8"/>
      <c r="F646" s="8"/>
      <c r="G646" s="8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spans="1:31" ht="11.5" x14ac:dyDescent="0.15">
      <c r="A647" s="7"/>
      <c r="B647" s="7"/>
      <c r="C647" s="7"/>
      <c r="D647" s="8"/>
      <c r="E647" s="8"/>
      <c r="F647" s="8"/>
      <c r="G647" s="8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 spans="1:31" ht="11.5" x14ac:dyDescent="0.15">
      <c r="A648" s="7"/>
      <c r="B648" s="7"/>
      <c r="C648" s="7"/>
      <c r="D648" s="8"/>
      <c r="E648" s="8"/>
      <c r="F648" s="8"/>
      <c r="G648" s="8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spans="1:31" ht="11.5" x14ac:dyDescent="0.15">
      <c r="A649" s="7"/>
      <c r="B649" s="7"/>
      <c r="C649" s="7"/>
      <c r="D649" s="8"/>
      <c r="E649" s="8"/>
      <c r="F649" s="8"/>
      <c r="G649" s="8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spans="1:31" ht="11.5" x14ac:dyDescent="0.15">
      <c r="A650" s="7"/>
      <c r="B650" s="7"/>
      <c r="C650" s="7"/>
      <c r="D650" s="8"/>
      <c r="E650" s="8"/>
      <c r="F650" s="8"/>
      <c r="G650" s="8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spans="1:31" ht="11.5" x14ac:dyDescent="0.15">
      <c r="A651" s="7"/>
      <c r="B651" s="7"/>
      <c r="C651" s="7"/>
      <c r="D651" s="8"/>
      <c r="E651" s="8"/>
      <c r="F651" s="8"/>
      <c r="G651" s="8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spans="1:31" ht="11.5" x14ac:dyDescent="0.15">
      <c r="A652" s="7"/>
      <c r="B652" s="7"/>
      <c r="C652" s="7"/>
      <c r="D652" s="8"/>
      <c r="E652" s="8"/>
      <c r="F652" s="8"/>
      <c r="G652" s="8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 spans="1:31" ht="11.5" x14ac:dyDescent="0.15">
      <c r="A653" s="7"/>
      <c r="B653" s="7"/>
      <c r="C653" s="7"/>
      <c r="D653" s="8"/>
      <c r="E653" s="8"/>
      <c r="F653" s="8"/>
      <c r="G653" s="8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spans="1:31" ht="11.5" x14ac:dyDescent="0.15">
      <c r="A654" s="7"/>
      <c r="B654" s="7"/>
      <c r="C654" s="7"/>
      <c r="D654" s="8"/>
      <c r="E654" s="8"/>
      <c r="F654" s="8"/>
      <c r="G654" s="8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spans="1:31" ht="11.5" x14ac:dyDescent="0.15">
      <c r="A655" s="7"/>
      <c r="B655" s="7"/>
      <c r="C655" s="7"/>
      <c r="D655" s="8"/>
      <c r="E655" s="8"/>
      <c r="F655" s="8"/>
      <c r="G655" s="8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spans="1:31" ht="11.5" x14ac:dyDescent="0.15">
      <c r="A656" s="7"/>
      <c r="B656" s="7"/>
      <c r="C656" s="7"/>
      <c r="D656" s="8"/>
      <c r="E656" s="8"/>
      <c r="F656" s="8"/>
      <c r="G656" s="8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spans="1:31" ht="11.5" x14ac:dyDescent="0.15">
      <c r="A657" s="7"/>
      <c r="B657" s="7"/>
      <c r="C657" s="7"/>
      <c r="D657" s="8"/>
      <c r="E657" s="8"/>
      <c r="F657" s="8"/>
      <c r="G657" s="8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 spans="1:31" ht="11.5" x14ac:dyDescent="0.15">
      <c r="A658" s="7"/>
      <c r="B658" s="7"/>
      <c r="C658" s="7"/>
      <c r="D658" s="8"/>
      <c r="E658" s="8"/>
      <c r="F658" s="8"/>
      <c r="G658" s="8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 spans="1:31" ht="11.5" x14ac:dyDescent="0.15">
      <c r="A659" s="7"/>
      <c r="B659" s="7"/>
      <c r="C659" s="7"/>
      <c r="D659" s="8"/>
      <c r="E659" s="8"/>
      <c r="F659" s="8"/>
      <c r="G659" s="8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 spans="1:31" ht="11.5" x14ac:dyDescent="0.15">
      <c r="A660" s="7"/>
      <c r="B660" s="7"/>
      <c r="C660" s="7"/>
      <c r="D660" s="8"/>
      <c r="E660" s="8"/>
      <c r="F660" s="8"/>
      <c r="G660" s="8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 spans="1:31" ht="11.5" x14ac:dyDescent="0.15">
      <c r="A661" s="7"/>
      <c r="B661" s="7"/>
      <c r="C661" s="7"/>
      <c r="D661" s="8"/>
      <c r="E661" s="8"/>
      <c r="F661" s="8"/>
      <c r="G661" s="8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 spans="1:31" ht="11.5" x14ac:dyDescent="0.15">
      <c r="A662" s="7"/>
      <c r="B662" s="7"/>
      <c r="C662" s="7"/>
      <c r="D662" s="8"/>
      <c r="E662" s="8"/>
      <c r="F662" s="8"/>
      <c r="G662" s="8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 spans="1:31" ht="11.5" x14ac:dyDescent="0.15">
      <c r="A663" s="7"/>
      <c r="B663" s="7"/>
      <c r="C663" s="7"/>
      <c r="D663" s="8"/>
      <c r="E663" s="8"/>
      <c r="F663" s="8"/>
      <c r="G663" s="8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 spans="1:31" ht="11.5" x14ac:dyDescent="0.15">
      <c r="A664" s="7"/>
      <c r="B664" s="7"/>
      <c r="C664" s="7"/>
      <c r="D664" s="8"/>
      <c r="E664" s="8"/>
      <c r="F664" s="8"/>
      <c r="G664" s="8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 spans="1:31" ht="11.5" x14ac:dyDescent="0.15">
      <c r="A665" s="7"/>
      <c r="B665" s="7"/>
      <c r="C665" s="7"/>
      <c r="D665" s="8"/>
      <c r="E665" s="8"/>
      <c r="F665" s="8"/>
      <c r="G665" s="8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 spans="1:31" ht="11.5" x14ac:dyDescent="0.15">
      <c r="A666" s="7"/>
      <c r="B666" s="7"/>
      <c r="C666" s="7"/>
      <c r="D666" s="8"/>
      <c r="E666" s="8"/>
      <c r="F666" s="8"/>
      <c r="G666" s="8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 spans="1:31" ht="11.5" x14ac:dyDescent="0.15">
      <c r="A667" s="7"/>
      <c r="B667" s="7"/>
      <c r="C667" s="7"/>
      <c r="D667" s="8"/>
      <c r="E667" s="8"/>
      <c r="F667" s="8"/>
      <c r="G667" s="8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 spans="1:31" ht="11.5" x14ac:dyDescent="0.15">
      <c r="A668" s="7"/>
      <c r="B668" s="7"/>
      <c r="C668" s="7"/>
      <c r="D668" s="8"/>
      <c r="E668" s="8"/>
      <c r="F668" s="8"/>
      <c r="G668" s="8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 spans="1:31" ht="11.5" x14ac:dyDescent="0.15">
      <c r="A669" s="7"/>
      <c r="B669" s="7"/>
      <c r="C669" s="7"/>
      <c r="D669" s="8"/>
      <c r="E669" s="8"/>
      <c r="F669" s="8"/>
      <c r="G669" s="8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 spans="1:31" ht="11.5" x14ac:dyDescent="0.15">
      <c r="A670" s="7"/>
      <c r="B670" s="7"/>
      <c r="C670" s="7"/>
      <c r="D670" s="8"/>
      <c r="E670" s="8"/>
      <c r="F670" s="8"/>
      <c r="G670" s="8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 spans="1:31" ht="11.5" x14ac:dyDescent="0.15">
      <c r="A671" s="7"/>
      <c r="B671" s="7"/>
      <c r="C671" s="7"/>
      <c r="D671" s="8"/>
      <c r="E671" s="8"/>
      <c r="F671" s="8"/>
      <c r="G671" s="8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 spans="1:31" ht="11.5" x14ac:dyDescent="0.15">
      <c r="A672" s="7"/>
      <c r="B672" s="7"/>
      <c r="C672" s="7"/>
      <c r="D672" s="8"/>
      <c r="E672" s="8"/>
      <c r="F672" s="8"/>
      <c r="G672" s="8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 spans="1:31" ht="11.5" x14ac:dyDescent="0.15">
      <c r="A673" s="7"/>
      <c r="B673" s="7"/>
      <c r="C673" s="7"/>
      <c r="D673" s="8"/>
      <c r="E673" s="8"/>
      <c r="F673" s="8"/>
      <c r="G673" s="8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 spans="1:31" ht="11.5" x14ac:dyDescent="0.15">
      <c r="A674" s="7"/>
      <c r="B674" s="7"/>
      <c r="C674" s="7"/>
      <c r="D674" s="8"/>
      <c r="E674" s="8"/>
      <c r="F674" s="8"/>
      <c r="G674" s="8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 spans="1:31" ht="11.5" x14ac:dyDescent="0.15">
      <c r="A675" s="7"/>
      <c r="B675" s="7"/>
      <c r="C675" s="7"/>
      <c r="D675" s="8"/>
      <c r="E675" s="8"/>
      <c r="F675" s="8"/>
      <c r="G675" s="8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 spans="1:31" ht="11.5" x14ac:dyDescent="0.15">
      <c r="A676" s="7"/>
      <c r="B676" s="7"/>
      <c r="C676" s="7"/>
      <c r="D676" s="8"/>
      <c r="E676" s="8"/>
      <c r="F676" s="8"/>
      <c r="G676" s="8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 spans="1:31" ht="11.5" x14ac:dyDescent="0.15">
      <c r="A677" s="7"/>
      <c r="B677" s="7"/>
      <c r="C677" s="7"/>
      <c r="D677" s="8"/>
      <c r="E677" s="8"/>
      <c r="F677" s="8"/>
      <c r="G677" s="8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 spans="1:31" ht="11.5" x14ac:dyDescent="0.15">
      <c r="A678" s="7"/>
      <c r="B678" s="7"/>
      <c r="C678" s="7"/>
      <c r="D678" s="8"/>
      <c r="E678" s="8"/>
      <c r="F678" s="8"/>
      <c r="G678" s="8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 spans="1:31" ht="11.5" x14ac:dyDescent="0.15">
      <c r="A679" s="7"/>
      <c r="B679" s="7"/>
      <c r="C679" s="7"/>
      <c r="D679" s="8"/>
      <c r="E679" s="8"/>
      <c r="F679" s="8"/>
      <c r="G679" s="8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 spans="1:31" ht="11.5" x14ac:dyDescent="0.15">
      <c r="A680" s="7"/>
      <c r="B680" s="7"/>
      <c r="C680" s="7"/>
      <c r="D680" s="8"/>
      <c r="E680" s="8"/>
      <c r="F680" s="8"/>
      <c r="G680" s="8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 spans="1:31" ht="11.5" x14ac:dyDescent="0.15">
      <c r="A681" s="7"/>
      <c r="B681" s="7"/>
      <c r="C681" s="7"/>
      <c r="D681" s="8"/>
      <c r="E681" s="8"/>
      <c r="F681" s="8"/>
      <c r="G681" s="8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 spans="1:31" ht="11.5" x14ac:dyDescent="0.15">
      <c r="A682" s="7"/>
      <c r="B682" s="7"/>
      <c r="C682" s="7"/>
      <c r="D682" s="8"/>
      <c r="E682" s="8"/>
      <c r="F682" s="8"/>
      <c r="G682" s="8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 spans="1:31" ht="11.5" x14ac:dyDescent="0.15">
      <c r="A683" s="7"/>
      <c r="B683" s="7"/>
      <c r="C683" s="7"/>
      <c r="D683" s="8"/>
      <c r="E683" s="8"/>
      <c r="F683" s="8"/>
      <c r="G683" s="8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 spans="1:31" ht="11.5" x14ac:dyDescent="0.15">
      <c r="A684" s="7"/>
      <c r="B684" s="7"/>
      <c r="C684" s="7"/>
      <c r="D684" s="8"/>
      <c r="E684" s="8"/>
      <c r="F684" s="8"/>
      <c r="G684" s="8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 spans="1:31" ht="11.5" x14ac:dyDescent="0.15">
      <c r="A685" s="7"/>
      <c r="B685" s="7"/>
      <c r="C685" s="7"/>
      <c r="D685" s="8"/>
      <c r="E685" s="8"/>
      <c r="F685" s="8"/>
      <c r="G685" s="8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 spans="1:31" ht="11.5" x14ac:dyDescent="0.15">
      <c r="A686" s="7"/>
      <c r="B686" s="7"/>
      <c r="C686" s="7"/>
      <c r="D686" s="8"/>
      <c r="E686" s="8"/>
      <c r="F686" s="8"/>
      <c r="G686" s="8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 spans="1:31" ht="11.5" x14ac:dyDescent="0.15">
      <c r="A687" s="7"/>
      <c r="B687" s="7"/>
      <c r="C687" s="7"/>
      <c r="D687" s="8"/>
      <c r="E687" s="8"/>
      <c r="F687" s="8"/>
      <c r="G687" s="8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 spans="1:31" ht="11.5" x14ac:dyDescent="0.15">
      <c r="A688" s="7"/>
      <c r="B688" s="7"/>
      <c r="C688" s="7"/>
      <c r="D688" s="8"/>
      <c r="E688" s="8"/>
      <c r="F688" s="8"/>
      <c r="G688" s="8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 spans="1:31" ht="11.5" x14ac:dyDescent="0.15">
      <c r="A689" s="7"/>
      <c r="B689" s="7"/>
      <c r="C689" s="7"/>
      <c r="D689" s="8"/>
      <c r="E689" s="8"/>
      <c r="F689" s="8"/>
      <c r="G689" s="8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 spans="1:31" ht="11.5" x14ac:dyDescent="0.15">
      <c r="A690" s="7"/>
      <c r="B690" s="7"/>
      <c r="C690" s="7"/>
      <c r="D690" s="8"/>
      <c r="E690" s="8"/>
      <c r="F690" s="8"/>
      <c r="G690" s="8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 spans="1:31" ht="11.5" x14ac:dyDescent="0.15">
      <c r="A691" s="7"/>
      <c r="B691" s="7"/>
      <c r="C691" s="7"/>
      <c r="D691" s="8"/>
      <c r="E691" s="8"/>
      <c r="F691" s="8"/>
      <c r="G691" s="8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 spans="1:31" ht="11.5" x14ac:dyDescent="0.15">
      <c r="A692" s="7"/>
      <c r="B692" s="7"/>
      <c r="C692" s="7"/>
      <c r="D692" s="8"/>
      <c r="E692" s="8"/>
      <c r="F692" s="8"/>
      <c r="G692" s="8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 spans="1:31" ht="11.5" x14ac:dyDescent="0.15">
      <c r="A693" s="7"/>
      <c r="B693" s="7"/>
      <c r="C693" s="7"/>
      <c r="D693" s="8"/>
      <c r="E693" s="8"/>
      <c r="F693" s="8"/>
      <c r="G693" s="8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 spans="1:31" ht="11.5" x14ac:dyDescent="0.15">
      <c r="A694" s="7"/>
      <c r="B694" s="7"/>
      <c r="C694" s="7"/>
      <c r="D694" s="8"/>
      <c r="E694" s="8"/>
      <c r="F694" s="8"/>
      <c r="G694" s="8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 spans="1:31" ht="11.5" x14ac:dyDescent="0.15">
      <c r="A695" s="7"/>
      <c r="B695" s="7"/>
      <c r="C695" s="7"/>
      <c r="D695" s="8"/>
      <c r="E695" s="8"/>
      <c r="F695" s="8"/>
      <c r="G695" s="8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 spans="1:31" ht="11.5" x14ac:dyDescent="0.15">
      <c r="A696" s="7"/>
      <c r="B696" s="7"/>
      <c r="C696" s="7"/>
      <c r="D696" s="8"/>
      <c r="E696" s="8"/>
      <c r="F696" s="8"/>
      <c r="G696" s="8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 spans="1:31" ht="11.5" x14ac:dyDescent="0.15">
      <c r="A697" s="7"/>
      <c r="B697" s="7"/>
      <c r="C697" s="7"/>
      <c r="D697" s="8"/>
      <c r="E697" s="8"/>
      <c r="F697" s="8"/>
      <c r="G697" s="8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 spans="1:31" ht="11.5" x14ac:dyDescent="0.15">
      <c r="A698" s="7"/>
      <c r="B698" s="7"/>
      <c r="C698" s="7"/>
      <c r="D698" s="8"/>
      <c r="E698" s="8"/>
      <c r="F698" s="8"/>
      <c r="G698" s="8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 spans="1:31" ht="11.5" x14ac:dyDescent="0.15">
      <c r="A699" s="7"/>
      <c r="B699" s="7"/>
      <c r="C699" s="7"/>
      <c r="D699" s="8"/>
      <c r="E699" s="8"/>
      <c r="F699" s="8"/>
      <c r="G699" s="8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 spans="1:31" ht="11.5" x14ac:dyDescent="0.15">
      <c r="A700" s="7"/>
      <c r="B700" s="7"/>
      <c r="C700" s="7"/>
      <c r="D700" s="8"/>
      <c r="E700" s="8"/>
      <c r="F700" s="8"/>
      <c r="G700" s="8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spans="1:31" ht="11.5" x14ac:dyDescent="0.15">
      <c r="A701" s="7"/>
      <c r="B701" s="7"/>
      <c r="C701" s="7"/>
      <c r="D701" s="8"/>
      <c r="E701" s="8"/>
      <c r="F701" s="8"/>
      <c r="G701" s="8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 spans="1:31" ht="11.5" x14ac:dyDescent="0.15">
      <c r="A702" s="7"/>
      <c r="B702" s="7"/>
      <c r="C702" s="7"/>
      <c r="D702" s="8"/>
      <c r="E702" s="8"/>
      <c r="F702" s="8"/>
      <c r="G702" s="8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 spans="1:31" ht="11.5" x14ac:dyDescent="0.15">
      <c r="A703" s="7"/>
      <c r="B703" s="7"/>
      <c r="C703" s="7"/>
      <c r="D703" s="8"/>
      <c r="E703" s="8"/>
      <c r="F703" s="8"/>
      <c r="G703" s="8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 spans="1:31" ht="11.5" x14ac:dyDescent="0.15">
      <c r="A704" s="7"/>
      <c r="B704" s="7"/>
      <c r="C704" s="7"/>
      <c r="D704" s="8"/>
      <c r="E704" s="8"/>
      <c r="F704" s="8"/>
      <c r="G704" s="8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 spans="1:31" ht="11.5" x14ac:dyDescent="0.15">
      <c r="A705" s="7"/>
      <c r="B705" s="7"/>
      <c r="C705" s="7"/>
      <c r="D705" s="8"/>
      <c r="E705" s="8"/>
      <c r="F705" s="8"/>
      <c r="G705" s="8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 spans="1:31" ht="11.5" x14ac:dyDescent="0.15">
      <c r="A706" s="7"/>
      <c r="B706" s="7"/>
      <c r="C706" s="7"/>
      <c r="D706" s="8"/>
      <c r="E706" s="8"/>
      <c r="F706" s="8"/>
      <c r="G706" s="8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 spans="1:31" ht="11.5" x14ac:dyDescent="0.15">
      <c r="A707" s="7"/>
      <c r="B707" s="7"/>
      <c r="C707" s="7"/>
      <c r="D707" s="8"/>
      <c r="E707" s="8"/>
      <c r="F707" s="8"/>
      <c r="G707" s="8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 spans="1:31" ht="11.5" x14ac:dyDescent="0.15">
      <c r="A708" s="7"/>
      <c r="B708" s="7"/>
      <c r="C708" s="7"/>
      <c r="D708" s="8"/>
      <c r="E708" s="8"/>
      <c r="F708" s="8"/>
      <c r="G708" s="8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 spans="1:31" ht="11.5" x14ac:dyDescent="0.15">
      <c r="A709" s="7"/>
      <c r="B709" s="7"/>
      <c r="C709" s="7"/>
      <c r="D709" s="8"/>
      <c r="E709" s="8"/>
      <c r="F709" s="8"/>
      <c r="G709" s="8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 spans="1:31" ht="11.5" x14ac:dyDescent="0.15">
      <c r="A710" s="7"/>
      <c r="B710" s="7"/>
      <c r="C710" s="7"/>
      <c r="D710" s="8"/>
      <c r="E710" s="8"/>
      <c r="F710" s="8"/>
      <c r="G710" s="8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 spans="1:31" ht="11.5" x14ac:dyDescent="0.15">
      <c r="A711" s="7"/>
      <c r="B711" s="7"/>
      <c r="C711" s="7"/>
      <c r="D711" s="8"/>
      <c r="E711" s="8"/>
      <c r="F711" s="8"/>
      <c r="G711" s="8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 spans="1:31" ht="11.5" x14ac:dyDescent="0.15">
      <c r="A712" s="7"/>
      <c r="B712" s="7"/>
      <c r="C712" s="7"/>
      <c r="D712" s="8"/>
      <c r="E712" s="8"/>
      <c r="F712" s="8"/>
      <c r="G712" s="8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 spans="1:31" ht="11.5" x14ac:dyDescent="0.15">
      <c r="A713" s="7"/>
      <c r="B713" s="7"/>
      <c r="C713" s="7"/>
      <c r="D713" s="8"/>
      <c r="E713" s="8"/>
      <c r="F713" s="8"/>
      <c r="G713" s="8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 spans="1:31" ht="11.5" x14ac:dyDescent="0.15">
      <c r="A714" s="7"/>
      <c r="B714" s="7"/>
      <c r="C714" s="7"/>
      <c r="D714" s="8"/>
      <c r="E714" s="8"/>
      <c r="F714" s="8"/>
      <c r="G714" s="8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 spans="1:31" ht="11.5" x14ac:dyDescent="0.15">
      <c r="A715" s="7"/>
      <c r="B715" s="7"/>
      <c r="C715" s="7"/>
      <c r="D715" s="8"/>
      <c r="E715" s="8"/>
      <c r="F715" s="8"/>
      <c r="G715" s="8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 spans="1:31" ht="11.5" x14ac:dyDescent="0.15">
      <c r="A716" s="7"/>
      <c r="B716" s="7"/>
      <c r="C716" s="7"/>
      <c r="D716" s="8"/>
      <c r="E716" s="8"/>
      <c r="F716" s="8"/>
      <c r="G716" s="8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 spans="1:31" ht="11.5" x14ac:dyDescent="0.15">
      <c r="A717" s="7"/>
      <c r="B717" s="7"/>
      <c r="C717" s="7"/>
      <c r="D717" s="8"/>
      <c r="E717" s="8"/>
      <c r="F717" s="8"/>
      <c r="G717" s="8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 spans="1:31" ht="11.5" x14ac:dyDescent="0.15">
      <c r="A718" s="7"/>
      <c r="B718" s="7"/>
      <c r="C718" s="7"/>
      <c r="D718" s="8"/>
      <c r="E718" s="8"/>
      <c r="F718" s="8"/>
      <c r="G718" s="8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 spans="1:31" ht="11.5" x14ac:dyDescent="0.15">
      <c r="A719" s="7"/>
      <c r="B719" s="7"/>
      <c r="C719" s="7"/>
      <c r="D719" s="8"/>
      <c r="E719" s="8"/>
      <c r="F719" s="8"/>
      <c r="G719" s="8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 spans="1:31" ht="11.5" x14ac:dyDescent="0.15">
      <c r="A720" s="7"/>
      <c r="B720" s="7"/>
      <c r="C720" s="7"/>
      <c r="D720" s="8"/>
      <c r="E720" s="8"/>
      <c r="F720" s="8"/>
      <c r="G720" s="8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 spans="1:31" ht="11.5" x14ac:dyDescent="0.15">
      <c r="A721" s="7"/>
      <c r="B721" s="7"/>
      <c r="C721" s="7"/>
      <c r="D721" s="8"/>
      <c r="E721" s="8"/>
      <c r="F721" s="8"/>
      <c r="G721" s="8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 spans="1:31" ht="11.5" x14ac:dyDescent="0.15">
      <c r="A722" s="7"/>
      <c r="B722" s="7"/>
      <c r="C722" s="7"/>
      <c r="D722" s="8"/>
      <c r="E722" s="8"/>
      <c r="F722" s="8"/>
      <c r="G722" s="8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 spans="1:31" ht="11.5" x14ac:dyDescent="0.15">
      <c r="A723" s="7"/>
      <c r="B723" s="7"/>
      <c r="C723" s="7"/>
      <c r="D723" s="8"/>
      <c r="E723" s="8"/>
      <c r="F723" s="8"/>
      <c r="G723" s="8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 spans="1:31" ht="11.5" x14ac:dyDescent="0.15">
      <c r="A724" s="7"/>
      <c r="B724" s="7"/>
      <c r="C724" s="7"/>
      <c r="D724" s="8"/>
      <c r="E724" s="8"/>
      <c r="F724" s="8"/>
      <c r="G724" s="8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 spans="1:31" ht="11.5" x14ac:dyDescent="0.15">
      <c r="A725" s="7"/>
      <c r="B725" s="7"/>
      <c r="C725" s="7"/>
      <c r="D725" s="8"/>
      <c r="E725" s="8"/>
      <c r="F725" s="8"/>
      <c r="G725" s="8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 spans="1:31" ht="11.5" x14ac:dyDescent="0.15">
      <c r="A726" s="7"/>
      <c r="B726" s="7"/>
      <c r="C726" s="7"/>
      <c r="D726" s="8"/>
      <c r="E726" s="8"/>
      <c r="F726" s="8"/>
      <c r="G726" s="8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 spans="1:31" ht="11.5" x14ac:dyDescent="0.15">
      <c r="A727" s="7"/>
      <c r="B727" s="7"/>
      <c r="C727" s="7"/>
      <c r="D727" s="8"/>
      <c r="E727" s="8"/>
      <c r="F727" s="8"/>
      <c r="G727" s="8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 spans="1:31" ht="11.5" x14ac:dyDescent="0.15">
      <c r="A728" s="7"/>
      <c r="B728" s="7"/>
      <c r="C728" s="7"/>
      <c r="D728" s="8"/>
      <c r="E728" s="8"/>
      <c r="F728" s="8"/>
      <c r="G728" s="8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 spans="1:31" ht="11.5" x14ac:dyDescent="0.15">
      <c r="A729" s="7"/>
      <c r="B729" s="7"/>
      <c r="C729" s="7"/>
      <c r="D729" s="8"/>
      <c r="E729" s="8"/>
      <c r="F729" s="8"/>
      <c r="G729" s="8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 spans="1:31" ht="11.5" x14ac:dyDescent="0.15">
      <c r="A730" s="7"/>
      <c r="B730" s="7"/>
      <c r="C730" s="7"/>
      <c r="D730" s="8"/>
      <c r="E730" s="8"/>
      <c r="F730" s="8"/>
      <c r="G730" s="8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 spans="1:31" ht="11.5" x14ac:dyDescent="0.15">
      <c r="A731" s="7"/>
      <c r="B731" s="7"/>
      <c r="C731" s="7"/>
      <c r="D731" s="8"/>
      <c r="E731" s="8"/>
      <c r="F731" s="8"/>
      <c r="G731" s="8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 spans="1:31" ht="11.5" x14ac:dyDescent="0.15">
      <c r="A732" s="7"/>
      <c r="B732" s="7"/>
      <c r="C732" s="7"/>
      <c r="D732" s="8"/>
      <c r="E732" s="8"/>
      <c r="F732" s="8"/>
      <c r="G732" s="8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 spans="1:31" ht="11.5" x14ac:dyDescent="0.15">
      <c r="A733" s="7"/>
      <c r="B733" s="7"/>
      <c r="C733" s="7"/>
      <c r="D733" s="8"/>
      <c r="E733" s="8"/>
      <c r="F733" s="8"/>
      <c r="G733" s="8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 spans="1:31" ht="11.5" x14ac:dyDescent="0.15">
      <c r="A734" s="7"/>
      <c r="B734" s="7"/>
      <c r="C734" s="7"/>
      <c r="D734" s="8"/>
      <c r="E734" s="8"/>
      <c r="F734" s="8"/>
      <c r="G734" s="8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 spans="1:31" ht="11.5" x14ac:dyDescent="0.15">
      <c r="A735" s="7"/>
      <c r="B735" s="7"/>
      <c r="C735" s="7"/>
      <c r="D735" s="8"/>
      <c r="E735" s="8"/>
      <c r="F735" s="8"/>
      <c r="G735" s="8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 spans="1:31" ht="11.5" x14ac:dyDescent="0.15">
      <c r="A736" s="7"/>
      <c r="B736" s="7"/>
      <c r="C736" s="7"/>
      <c r="D736" s="8"/>
      <c r="E736" s="8"/>
      <c r="F736" s="8"/>
      <c r="G736" s="8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 spans="1:31" ht="11.5" x14ac:dyDescent="0.15">
      <c r="A737" s="7"/>
      <c r="B737" s="7"/>
      <c r="C737" s="7"/>
      <c r="D737" s="8"/>
      <c r="E737" s="8"/>
      <c r="F737" s="8"/>
      <c r="G737" s="8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 spans="1:31" ht="11.5" x14ac:dyDescent="0.15">
      <c r="A738" s="7"/>
      <c r="B738" s="7"/>
      <c r="C738" s="7"/>
      <c r="D738" s="8"/>
      <c r="E738" s="8"/>
      <c r="F738" s="8"/>
      <c r="G738" s="8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 spans="1:31" ht="11.5" x14ac:dyDescent="0.15">
      <c r="A739" s="7"/>
      <c r="B739" s="7"/>
      <c r="C739" s="7"/>
      <c r="D739" s="8"/>
      <c r="E739" s="8"/>
      <c r="F739" s="8"/>
      <c r="G739" s="8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 spans="1:31" ht="11.5" x14ac:dyDescent="0.15">
      <c r="A740" s="7"/>
      <c r="B740" s="7"/>
      <c r="C740" s="7"/>
      <c r="D740" s="8"/>
      <c r="E740" s="8"/>
      <c r="F740" s="8"/>
      <c r="G740" s="8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 spans="1:31" ht="11.5" x14ac:dyDescent="0.15">
      <c r="A741" s="7"/>
      <c r="B741" s="7"/>
      <c r="C741" s="7"/>
      <c r="D741" s="8"/>
      <c r="E741" s="8"/>
      <c r="F741" s="8"/>
      <c r="G741" s="8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 spans="1:31" ht="11.5" x14ac:dyDescent="0.15">
      <c r="A742" s="7"/>
      <c r="B742" s="7"/>
      <c r="C742" s="7"/>
      <c r="D742" s="8"/>
      <c r="E742" s="8"/>
      <c r="F742" s="8"/>
      <c r="G742" s="8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 spans="1:31" ht="11.5" x14ac:dyDescent="0.15">
      <c r="A743" s="7"/>
      <c r="B743" s="7"/>
      <c r="C743" s="7"/>
      <c r="D743" s="8"/>
      <c r="E743" s="8"/>
      <c r="F743" s="8"/>
      <c r="G743" s="8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 spans="1:31" ht="11.5" x14ac:dyDescent="0.15">
      <c r="A744" s="7"/>
      <c r="B744" s="7"/>
      <c r="C744" s="7"/>
      <c r="D744" s="8"/>
      <c r="E744" s="8"/>
      <c r="F744" s="8"/>
      <c r="G744" s="8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 spans="1:31" ht="11.5" x14ac:dyDescent="0.15">
      <c r="A745" s="7"/>
      <c r="B745" s="7"/>
      <c r="C745" s="7"/>
      <c r="D745" s="8"/>
      <c r="E745" s="8"/>
      <c r="F745" s="8"/>
      <c r="G745" s="8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 spans="1:31" ht="11.5" x14ac:dyDescent="0.15">
      <c r="A746" s="7"/>
      <c r="B746" s="7"/>
      <c r="C746" s="7"/>
      <c r="D746" s="8"/>
      <c r="E746" s="8"/>
      <c r="F746" s="8"/>
      <c r="G746" s="8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 spans="1:31" ht="11.5" x14ac:dyDescent="0.15">
      <c r="A747" s="7"/>
      <c r="B747" s="7"/>
      <c r="C747" s="7"/>
      <c r="D747" s="8"/>
      <c r="E747" s="8"/>
      <c r="F747" s="8"/>
      <c r="G747" s="8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 spans="1:31" ht="11.5" x14ac:dyDescent="0.15">
      <c r="A748" s="7"/>
      <c r="B748" s="7"/>
      <c r="C748" s="7"/>
      <c r="D748" s="8"/>
      <c r="E748" s="8"/>
      <c r="F748" s="8"/>
      <c r="G748" s="8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 spans="1:31" ht="11.5" x14ac:dyDescent="0.15">
      <c r="A749" s="7"/>
      <c r="B749" s="7"/>
      <c r="C749" s="7"/>
      <c r="D749" s="8"/>
      <c r="E749" s="8"/>
      <c r="F749" s="8"/>
      <c r="G749" s="8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 spans="1:31" ht="11.5" x14ac:dyDescent="0.15">
      <c r="A750" s="7"/>
      <c r="B750" s="7"/>
      <c r="C750" s="7"/>
      <c r="D750" s="8"/>
      <c r="E750" s="8"/>
      <c r="F750" s="8"/>
      <c r="G750" s="8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 spans="1:31" ht="11.5" x14ac:dyDescent="0.15">
      <c r="A751" s="7"/>
      <c r="B751" s="7"/>
      <c r="C751" s="7"/>
      <c r="D751" s="8"/>
      <c r="E751" s="8"/>
      <c r="F751" s="8"/>
      <c r="G751" s="8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 spans="1:31" ht="11.5" x14ac:dyDescent="0.15">
      <c r="A752" s="7"/>
      <c r="B752" s="7"/>
      <c r="C752" s="7"/>
      <c r="D752" s="8"/>
      <c r="E752" s="8"/>
      <c r="F752" s="8"/>
      <c r="G752" s="8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 spans="1:31" ht="11.5" x14ac:dyDescent="0.15">
      <c r="A753" s="7"/>
      <c r="B753" s="7"/>
      <c r="C753" s="7"/>
      <c r="D753" s="8"/>
      <c r="E753" s="8"/>
      <c r="F753" s="8"/>
      <c r="G753" s="8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 spans="1:31" ht="11.5" x14ac:dyDescent="0.15">
      <c r="A754" s="7"/>
      <c r="B754" s="7"/>
      <c r="C754" s="7"/>
      <c r="D754" s="8"/>
      <c r="E754" s="8"/>
      <c r="F754" s="8"/>
      <c r="G754" s="8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 spans="1:31" ht="11.5" x14ac:dyDescent="0.15">
      <c r="A755" s="7"/>
      <c r="B755" s="7"/>
      <c r="C755" s="7"/>
      <c r="D755" s="8"/>
      <c r="E755" s="8"/>
      <c r="F755" s="8"/>
      <c r="G755" s="8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 spans="1:31" ht="11.5" x14ac:dyDescent="0.15">
      <c r="A756" s="7"/>
      <c r="B756" s="7"/>
      <c r="C756" s="7"/>
      <c r="D756" s="8"/>
      <c r="E756" s="8"/>
      <c r="F756" s="8"/>
      <c r="G756" s="8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 spans="1:31" ht="11.5" x14ac:dyDescent="0.15">
      <c r="A757" s="7"/>
      <c r="B757" s="7"/>
      <c r="C757" s="7"/>
      <c r="D757" s="8"/>
      <c r="E757" s="8"/>
      <c r="F757" s="8"/>
      <c r="G757" s="8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 spans="1:31" ht="11.5" x14ac:dyDescent="0.15">
      <c r="A758" s="7"/>
      <c r="B758" s="7"/>
      <c r="C758" s="7"/>
      <c r="D758" s="8"/>
      <c r="E758" s="8"/>
      <c r="F758" s="8"/>
      <c r="G758" s="8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 spans="1:31" ht="11.5" x14ac:dyDescent="0.15">
      <c r="A759" s="7"/>
      <c r="B759" s="7"/>
      <c r="C759" s="7"/>
      <c r="D759" s="8"/>
      <c r="E759" s="8"/>
      <c r="F759" s="8"/>
      <c r="G759" s="8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 spans="1:31" ht="11.5" x14ac:dyDescent="0.15">
      <c r="A760" s="7"/>
      <c r="B760" s="7"/>
      <c r="C760" s="7"/>
      <c r="D760" s="8"/>
      <c r="E760" s="8"/>
      <c r="F760" s="8"/>
      <c r="G760" s="8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 spans="1:31" ht="11.5" x14ac:dyDescent="0.15">
      <c r="A761" s="7"/>
      <c r="B761" s="7"/>
      <c r="C761" s="7"/>
      <c r="D761" s="8"/>
      <c r="E761" s="8"/>
      <c r="F761" s="8"/>
      <c r="G761" s="8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 spans="1:31" ht="11.5" x14ac:dyDescent="0.15">
      <c r="A762" s="7"/>
      <c r="B762" s="7"/>
      <c r="C762" s="7"/>
      <c r="D762" s="8"/>
      <c r="E762" s="8"/>
      <c r="F762" s="8"/>
      <c r="G762" s="8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 spans="1:31" ht="11.5" x14ac:dyDescent="0.15">
      <c r="A763" s="7"/>
      <c r="B763" s="7"/>
      <c r="C763" s="7"/>
      <c r="D763" s="8"/>
      <c r="E763" s="8"/>
      <c r="F763" s="8"/>
      <c r="G763" s="8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 spans="1:31" ht="11.5" x14ac:dyDescent="0.15">
      <c r="A764" s="7"/>
      <c r="B764" s="7"/>
      <c r="C764" s="7"/>
      <c r="D764" s="8"/>
      <c r="E764" s="8"/>
      <c r="F764" s="8"/>
      <c r="G764" s="8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 spans="1:31" ht="11.5" x14ac:dyDescent="0.15">
      <c r="A765" s="7"/>
      <c r="B765" s="7"/>
      <c r="C765" s="7"/>
      <c r="D765" s="8"/>
      <c r="E765" s="8"/>
      <c r="F765" s="8"/>
      <c r="G765" s="8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 spans="1:31" ht="11.5" x14ac:dyDescent="0.15">
      <c r="A766" s="7"/>
      <c r="B766" s="7"/>
      <c r="C766" s="7"/>
      <c r="D766" s="8"/>
      <c r="E766" s="8"/>
      <c r="F766" s="8"/>
      <c r="G766" s="8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 spans="1:31" ht="11.5" x14ac:dyDescent="0.15">
      <c r="A767" s="7"/>
      <c r="B767" s="7"/>
      <c r="C767" s="7"/>
      <c r="D767" s="8"/>
      <c r="E767" s="8"/>
      <c r="F767" s="8"/>
      <c r="G767" s="8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 spans="1:31" ht="11.5" x14ac:dyDescent="0.15">
      <c r="A768" s="7"/>
      <c r="B768" s="7"/>
      <c r="C768" s="7"/>
      <c r="D768" s="8"/>
      <c r="E768" s="8"/>
      <c r="F768" s="8"/>
      <c r="G768" s="8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 spans="1:31" ht="11.5" x14ac:dyDescent="0.15">
      <c r="A769" s="7"/>
      <c r="B769" s="7"/>
      <c r="C769" s="7"/>
      <c r="D769" s="8"/>
      <c r="E769" s="8"/>
      <c r="F769" s="8"/>
      <c r="G769" s="8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 spans="1:31" ht="11.5" x14ac:dyDescent="0.15">
      <c r="A770" s="7"/>
      <c r="B770" s="7"/>
      <c r="C770" s="7"/>
      <c r="D770" s="8"/>
      <c r="E770" s="8"/>
      <c r="F770" s="8"/>
      <c r="G770" s="8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 spans="1:31" ht="11.5" x14ac:dyDescent="0.15">
      <c r="A771" s="7"/>
      <c r="B771" s="7"/>
      <c r="C771" s="7"/>
      <c r="D771" s="8"/>
      <c r="E771" s="8"/>
      <c r="F771" s="8"/>
      <c r="G771" s="8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 spans="1:31" ht="11.5" x14ac:dyDescent="0.15">
      <c r="A772" s="7"/>
      <c r="B772" s="7"/>
      <c r="C772" s="7"/>
      <c r="D772" s="8"/>
      <c r="E772" s="8"/>
      <c r="F772" s="8"/>
      <c r="G772" s="8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 spans="1:31" ht="11.5" x14ac:dyDescent="0.15">
      <c r="A773" s="7"/>
      <c r="B773" s="7"/>
      <c r="C773" s="7"/>
      <c r="D773" s="8"/>
      <c r="E773" s="8"/>
      <c r="F773" s="8"/>
      <c r="G773" s="8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 spans="1:31" ht="11.5" x14ac:dyDescent="0.15">
      <c r="A774" s="7"/>
      <c r="B774" s="7"/>
      <c r="C774" s="7"/>
      <c r="D774" s="8"/>
      <c r="E774" s="8"/>
      <c r="F774" s="8"/>
      <c r="G774" s="8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 spans="1:31" ht="11.5" x14ac:dyDescent="0.15">
      <c r="A775" s="7"/>
      <c r="B775" s="7"/>
      <c r="C775" s="7"/>
      <c r="D775" s="8"/>
      <c r="E775" s="8"/>
      <c r="F775" s="8"/>
      <c r="G775" s="8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 spans="1:31" ht="11.5" x14ac:dyDescent="0.15">
      <c r="A776" s="7"/>
      <c r="B776" s="7"/>
      <c r="C776" s="7"/>
      <c r="D776" s="8"/>
      <c r="E776" s="8"/>
      <c r="F776" s="8"/>
      <c r="G776" s="8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 spans="1:31" ht="11.5" x14ac:dyDescent="0.15">
      <c r="A777" s="7"/>
      <c r="B777" s="7"/>
      <c r="C777" s="7"/>
      <c r="D777" s="8"/>
      <c r="E777" s="8"/>
      <c r="F777" s="8"/>
      <c r="G777" s="8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 spans="1:31" ht="11.5" x14ac:dyDescent="0.15">
      <c r="A778" s="7"/>
      <c r="B778" s="7"/>
      <c r="C778" s="7"/>
      <c r="D778" s="8"/>
      <c r="E778" s="8"/>
      <c r="F778" s="8"/>
      <c r="G778" s="8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 spans="1:31" ht="11.5" x14ac:dyDescent="0.15">
      <c r="A779" s="7"/>
      <c r="B779" s="7"/>
      <c r="C779" s="7"/>
      <c r="D779" s="8"/>
      <c r="E779" s="8"/>
      <c r="F779" s="8"/>
      <c r="G779" s="8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 spans="1:31" ht="11.5" x14ac:dyDescent="0.15">
      <c r="A780" s="7"/>
      <c r="B780" s="7"/>
      <c r="C780" s="7"/>
      <c r="D780" s="8"/>
      <c r="E780" s="8"/>
      <c r="F780" s="8"/>
      <c r="G780" s="8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 spans="1:31" ht="11.5" x14ac:dyDescent="0.15">
      <c r="A781" s="7"/>
      <c r="B781" s="7"/>
      <c r="C781" s="7"/>
      <c r="D781" s="8"/>
      <c r="E781" s="8"/>
      <c r="F781" s="8"/>
      <c r="G781" s="8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 spans="1:31" ht="11.5" x14ac:dyDescent="0.15">
      <c r="A782" s="7"/>
      <c r="B782" s="7"/>
      <c r="C782" s="7"/>
      <c r="D782" s="8"/>
      <c r="E782" s="8"/>
      <c r="F782" s="8"/>
      <c r="G782" s="8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 spans="1:31" ht="11.5" x14ac:dyDescent="0.15">
      <c r="A783" s="7"/>
      <c r="B783" s="7"/>
      <c r="C783" s="7"/>
      <c r="D783" s="8"/>
      <c r="E783" s="8"/>
      <c r="F783" s="8"/>
      <c r="G783" s="8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 spans="1:31" ht="11.5" x14ac:dyDescent="0.15">
      <c r="A784" s="7"/>
      <c r="B784" s="7"/>
      <c r="C784" s="7"/>
      <c r="D784" s="8"/>
      <c r="E784" s="8"/>
      <c r="F784" s="8"/>
      <c r="G784" s="8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 spans="1:31" ht="11.5" x14ac:dyDescent="0.15">
      <c r="A785" s="7"/>
      <c r="B785" s="7"/>
      <c r="C785" s="7"/>
      <c r="D785" s="8"/>
      <c r="E785" s="8"/>
      <c r="F785" s="8"/>
      <c r="G785" s="8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 spans="1:31" ht="11.5" x14ac:dyDescent="0.15">
      <c r="A786" s="7"/>
      <c r="B786" s="7"/>
      <c r="C786" s="7"/>
      <c r="D786" s="8"/>
      <c r="E786" s="8"/>
      <c r="F786" s="8"/>
      <c r="G786" s="8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 spans="1:31" ht="11.5" x14ac:dyDescent="0.15">
      <c r="A787" s="7"/>
      <c r="B787" s="7"/>
      <c r="C787" s="7"/>
      <c r="D787" s="8"/>
      <c r="E787" s="8"/>
      <c r="F787" s="8"/>
      <c r="G787" s="8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 spans="1:31" ht="11.5" x14ac:dyDescent="0.15">
      <c r="A788" s="7"/>
      <c r="B788" s="7"/>
      <c r="C788" s="7"/>
      <c r="D788" s="8"/>
      <c r="E788" s="8"/>
      <c r="F788" s="8"/>
      <c r="G788" s="8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 spans="1:31" ht="11.5" x14ac:dyDescent="0.15">
      <c r="A789" s="7"/>
      <c r="B789" s="7"/>
      <c r="C789" s="7"/>
      <c r="D789" s="8"/>
      <c r="E789" s="8"/>
      <c r="F789" s="8"/>
      <c r="G789" s="8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 spans="1:31" ht="11.5" x14ac:dyDescent="0.15">
      <c r="A790" s="7"/>
      <c r="B790" s="7"/>
      <c r="C790" s="7"/>
      <c r="D790" s="8"/>
      <c r="E790" s="8"/>
      <c r="F790" s="8"/>
      <c r="G790" s="8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 spans="1:31" ht="11.5" x14ac:dyDescent="0.15">
      <c r="A791" s="7"/>
      <c r="B791" s="7"/>
      <c r="C791" s="7"/>
      <c r="D791" s="8"/>
      <c r="E791" s="8"/>
      <c r="F791" s="8"/>
      <c r="G791" s="8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 spans="1:31" ht="11.5" x14ac:dyDescent="0.15">
      <c r="A792" s="7"/>
      <c r="B792" s="7"/>
      <c r="C792" s="7"/>
      <c r="D792" s="8"/>
      <c r="E792" s="8"/>
      <c r="F792" s="8"/>
      <c r="G792" s="8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 spans="1:31" ht="11.5" x14ac:dyDescent="0.15">
      <c r="A793" s="7"/>
      <c r="B793" s="7"/>
      <c r="C793" s="7"/>
      <c r="D793" s="8"/>
      <c r="E793" s="8"/>
      <c r="F793" s="8"/>
      <c r="G793" s="8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 spans="1:31" ht="11.5" x14ac:dyDescent="0.15">
      <c r="A794" s="7"/>
      <c r="B794" s="7"/>
      <c r="C794" s="7"/>
      <c r="D794" s="8"/>
      <c r="E794" s="8"/>
      <c r="F794" s="8"/>
      <c r="G794" s="8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 spans="1:31" ht="11.5" x14ac:dyDescent="0.15">
      <c r="A795" s="7"/>
      <c r="B795" s="7"/>
      <c r="C795" s="7"/>
      <c r="D795" s="8"/>
      <c r="E795" s="8"/>
      <c r="F795" s="8"/>
      <c r="G795" s="8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 spans="1:31" ht="11.5" x14ac:dyDescent="0.15">
      <c r="A796" s="7"/>
      <c r="B796" s="7"/>
      <c r="C796" s="7"/>
      <c r="D796" s="8"/>
      <c r="E796" s="8"/>
      <c r="F796" s="8"/>
      <c r="G796" s="8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 spans="1:31" ht="11.5" x14ac:dyDescent="0.15">
      <c r="A797" s="7"/>
      <c r="B797" s="7"/>
      <c r="C797" s="7"/>
      <c r="D797" s="8"/>
      <c r="E797" s="8"/>
      <c r="F797" s="8"/>
      <c r="G797" s="8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 spans="1:31" ht="11.5" x14ac:dyDescent="0.15">
      <c r="A798" s="7"/>
      <c r="B798" s="7"/>
      <c r="C798" s="7"/>
      <c r="D798" s="8"/>
      <c r="E798" s="8"/>
      <c r="F798" s="8"/>
      <c r="G798" s="8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 spans="1:31" ht="11.5" x14ac:dyDescent="0.15">
      <c r="A799" s="7"/>
      <c r="B799" s="7"/>
      <c r="C799" s="7"/>
      <c r="D799" s="8"/>
      <c r="E799" s="8"/>
      <c r="F799" s="8"/>
      <c r="G799" s="8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 spans="1:31" ht="11.5" x14ac:dyDescent="0.15">
      <c r="A800" s="7"/>
      <c r="B800" s="7"/>
      <c r="C800" s="7"/>
      <c r="D800" s="8"/>
      <c r="E800" s="8"/>
      <c r="F800" s="8"/>
      <c r="G800" s="8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 spans="1:31" ht="11.5" x14ac:dyDescent="0.15">
      <c r="A801" s="7"/>
      <c r="B801" s="7"/>
      <c r="C801" s="7"/>
      <c r="D801" s="8"/>
      <c r="E801" s="8"/>
      <c r="F801" s="8"/>
      <c r="G801" s="8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 spans="1:31" ht="11.5" x14ac:dyDescent="0.15">
      <c r="A802" s="7"/>
      <c r="B802" s="7"/>
      <c r="C802" s="7"/>
      <c r="D802" s="8"/>
      <c r="E802" s="8"/>
      <c r="F802" s="8"/>
      <c r="G802" s="8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 spans="1:31" ht="11.5" x14ac:dyDescent="0.15">
      <c r="A803" s="7"/>
      <c r="B803" s="7"/>
      <c r="C803" s="7"/>
      <c r="D803" s="8"/>
      <c r="E803" s="8"/>
      <c r="F803" s="8"/>
      <c r="G803" s="8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 spans="1:31" ht="11.5" x14ac:dyDescent="0.15">
      <c r="A804" s="7"/>
      <c r="B804" s="7"/>
      <c r="C804" s="7"/>
      <c r="D804" s="8"/>
      <c r="E804" s="8"/>
      <c r="F804" s="8"/>
      <c r="G804" s="8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 spans="1:31" ht="11.5" x14ac:dyDescent="0.15">
      <c r="A805" s="7"/>
      <c r="B805" s="7"/>
      <c r="C805" s="7"/>
      <c r="D805" s="8"/>
      <c r="E805" s="8"/>
      <c r="F805" s="8"/>
      <c r="G805" s="8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 spans="1:31" ht="11.5" x14ac:dyDescent="0.15">
      <c r="A806" s="7"/>
      <c r="B806" s="7"/>
      <c r="C806" s="7"/>
      <c r="D806" s="8"/>
      <c r="E806" s="8"/>
      <c r="F806" s="8"/>
      <c r="G806" s="8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 spans="1:31" ht="11.5" x14ac:dyDescent="0.15">
      <c r="A807" s="7"/>
      <c r="B807" s="7"/>
      <c r="C807" s="7"/>
      <c r="D807" s="8"/>
      <c r="E807" s="8"/>
      <c r="F807" s="8"/>
      <c r="G807" s="8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 spans="1:31" ht="11.5" x14ac:dyDescent="0.15">
      <c r="A808" s="7"/>
      <c r="B808" s="7"/>
      <c r="C808" s="7"/>
      <c r="D808" s="8"/>
      <c r="E808" s="8"/>
      <c r="F808" s="8"/>
      <c r="G808" s="8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 spans="1:31" ht="11.5" x14ac:dyDescent="0.15">
      <c r="A809" s="7"/>
      <c r="B809" s="7"/>
      <c r="C809" s="7"/>
      <c r="D809" s="8"/>
      <c r="E809" s="8"/>
      <c r="F809" s="8"/>
      <c r="G809" s="8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 spans="1:31" ht="11.5" x14ac:dyDescent="0.15">
      <c r="A810" s="7"/>
      <c r="B810" s="7"/>
      <c r="C810" s="7"/>
      <c r="D810" s="8"/>
      <c r="E810" s="8"/>
      <c r="F810" s="8"/>
      <c r="G810" s="8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 spans="1:31" ht="11.5" x14ac:dyDescent="0.15">
      <c r="A811" s="7"/>
      <c r="B811" s="7"/>
      <c r="C811" s="7"/>
      <c r="D811" s="8"/>
      <c r="E811" s="8"/>
      <c r="F811" s="8"/>
      <c r="G811" s="8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 spans="1:31" ht="11.5" x14ac:dyDescent="0.15">
      <c r="A812" s="7"/>
      <c r="B812" s="7"/>
      <c r="C812" s="7"/>
      <c r="D812" s="8"/>
      <c r="E812" s="8"/>
      <c r="F812" s="8"/>
      <c r="G812" s="8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 spans="1:31" ht="11.5" x14ac:dyDescent="0.15">
      <c r="A813" s="7"/>
      <c r="B813" s="7"/>
      <c r="C813" s="7"/>
      <c r="D813" s="8"/>
      <c r="E813" s="8"/>
      <c r="F813" s="8"/>
      <c r="G813" s="8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 spans="1:31" ht="11.5" x14ac:dyDescent="0.15">
      <c r="A814" s="7"/>
      <c r="B814" s="7"/>
      <c r="C814" s="7"/>
      <c r="D814" s="8"/>
      <c r="E814" s="8"/>
      <c r="F814" s="8"/>
      <c r="G814" s="8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 spans="1:31" ht="11.5" x14ac:dyDescent="0.15">
      <c r="A815" s="7"/>
      <c r="B815" s="7"/>
      <c r="C815" s="7"/>
      <c r="D815" s="8"/>
      <c r="E815" s="8"/>
      <c r="F815" s="8"/>
      <c r="G815" s="8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 spans="1:31" ht="11.5" x14ac:dyDescent="0.15">
      <c r="A816" s="7"/>
      <c r="B816" s="7"/>
      <c r="C816" s="7"/>
      <c r="D816" s="8"/>
      <c r="E816" s="8"/>
      <c r="F816" s="8"/>
      <c r="G816" s="8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 spans="1:31" ht="11.5" x14ac:dyDescent="0.15">
      <c r="A817" s="7"/>
      <c r="B817" s="7"/>
      <c r="C817" s="7"/>
      <c r="D817" s="8"/>
      <c r="E817" s="8"/>
      <c r="F817" s="8"/>
      <c r="G817" s="8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 spans="1:31" ht="11.5" x14ac:dyDescent="0.15">
      <c r="A818" s="7"/>
      <c r="B818" s="7"/>
      <c r="C818" s="7"/>
      <c r="D818" s="8"/>
      <c r="E818" s="8"/>
      <c r="F818" s="8"/>
      <c r="G818" s="8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 spans="1:31" ht="11.5" x14ac:dyDescent="0.15">
      <c r="A819" s="7"/>
      <c r="B819" s="7"/>
      <c r="C819" s="7"/>
      <c r="D819" s="8"/>
      <c r="E819" s="8"/>
      <c r="F819" s="8"/>
      <c r="G819" s="8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 spans="1:31" ht="11.5" x14ac:dyDescent="0.15">
      <c r="A820" s="7"/>
      <c r="B820" s="7"/>
      <c r="C820" s="7"/>
      <c r="D820" s="8"/>
      <c r="E820" s="8"/>
      <c r="F820" s="8"/>
      <c r="G820" s="8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 spans="1:31" ht="11.5" x14ac:dyDescent="0.15">
      <c r="A821" s="7"/>
      <c r="B821" s="7"/>
      <c r="C821" s="7"/>
      <c r="D821" s="8"/>
      <c r="E821" s="8"/>
      <c r="F821" s="8"/>
      <c r="G821" s="8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 spans="1:31" ht="11.5" x14ac:dyDescent="0.15">
      <c r="A822" s="7"/>
      <c r="B822" s="7"/>
      <c r="C822" s="7"/>
      <c r="D822" s="8"/>
      <c r="E822" s="8"/>
      <c r="F822" s="8"/>
      <c r="G822" s="8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 spans="1:31" ht="11.5" x14ac:dyDescent="0.15">
      <c r="A823" s="7"/>
      <c r="B823" s="7"/>
      <c r="C823" s="7"/>
      <c r="D823" s="8"/>
      <c r="E823" s="8"/>
      <c r="F823" s="8"/>
      <c r="G823" s="8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 spans="1:31" ht="11.5" x14ac:dyDescent="0.15">
      <c r="A824" s="7"/>
      <c r="B824" s="7"/>
      <c r="C824" s="7"/>
      <c r="D824" s="8"/>
      <c r="E824" s="8"/>
      <c r="F824" s="8"/>
      <c r="G824" s="8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 spans="1:31" ht="11.5" x14ac:dyDescent="0.15">
      <c r="A825" s="7"/>
      <c r="B825" s="7"/>
      <c r="C825" s="7"/>
      <c r="D825" s="8"/>
      <c r="E825" s="8"/>
      <c r="F825" s="8"/>
      <c r="G825" s="8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 spans="1:31" ht="11.5" x14ac:dyDescent="0.15">
      <c r="A826" s="7"/>
      <c r="B826" s="7"/>
      <c r="C826" s="7"/>
      <c r="D826" s="8"/>
      <c r="E826" s="8"/>
      <c r="F826" s="8"/>
      <c r="G826" s="8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 spans="1:31" ht="11.5" x14ac:dyDescent="0.15">
      <c r="A827" s="7"/>
      <c r="B827" s="7"/>
      <c r="C827" s="7"/>
      <c r="D827" s="8"/>
      <c r="E827" s="8"/>
      <c r="F827" s="8"/>
      <c r="G827" s="8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 spans="1:31" ht="11.5" x14ac:dyDescent="0.15">
      <c r="A828" s="7"/>
      <c r="B828" s="7"/>
      <c r="C828" s="7"/>
      <c r="D828" s="8"/>
      <c r="E828" s="8"/>
      <c r="F828" s="8"/>
      <c r="G828" s="8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 spans="1:31" ht="11.5" x14ac:dyDescent="0.15">
      <c r="A829" s="7"/>
      <c r="B829" s="7"/>
      <c r="C829" s="7"/>
      <c r="D829" s="8"/>
      <c r="E829" s="8"/>
      <c r="F829" s="8"/>
      <c r="G829" s="8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 spans="1:31" ht="11.5" x14ac:dyDescent="0.15">
      <c r="A830" s="7"/>
      <c r="B830" s="7"/>
      <c r="C830" s="7"/>
      <c r="D830" s="8"/>
      <c r="E830" s="8"/>
      <c r="F830" s="8"/>
      <c r="G830" s="8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 spans="1:31" ht="11.5" x14ac:dyDescent="0.15">
      <c r="A831" s="7"/>
      <c r="B831" s="7"/>
      <c r="C831" s="7"/>
      <c r="D831" s="8"/>
      <c r="E831" s="8"/>
      <c r="F831" s="8"/>
      <c r="G831" s="8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 spans="1:31" ht="11.5" x14ac:dyDescent="0.15">
      <c r="A832" s="7"/>
      <c r="B832" s="7"/>
      <c r="C832" s="7"/>
      <c r="D832" s="8"/>
      <c r="E832" s="8"/>
      <c r="F832" s="8"/>
      <c r="G832" s="8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 spans="1:31" ht="11.5" x14ac:dyDescent="0.15">
      <c r="A833" s="7"/>
      <c r="B833" s="7"/>
      <c r="C833" s="7"/>
      <c r="D833" s="8"/>
      <c r="E833" s="8"/>
      <c r="F833" s="8"/>
      <c r="G833" s="8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 spans="1:31" ht="11.5" x14ac:dyDescent="0.15">
      <c r="A834" s="7"/>
      <c r="B834" s="7"/>
      <c r="C834" s="7"/>
      <c r="D834" s="8"/>
      <c r="E834" s="8"/>
      <c r="F834" s="8"/>
      <c r="G834" s="8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 spans="1:31" ht="11.5" x14ac:dyDescent="0.15">
      <c r="A835" s="7"/>
      <c r="B835" s="7"/>
      <c r="C835" s="7"/>
      <c r="D835" s="8"/>
      <c r="E835" s="8"/>
      <c r="F835" s="8"/>
      <c r="G835" s="8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 spans="1:31" ht="11.5" x14ac:dyDescent="0.15">
      <c r="A836" s="7"/>
      <c r="B836" s="7"/>
      <c r="C836" s="7"/>
      <c r="D836" s="8"/>
      <c r="E836" s="8"/>
      <c r="F836" s="8"/>
      <c r="G836" s="8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 spans="1:31" ht="11.5" x14ac:dyDescent="0.15">
      <c r="A837" s="7"/>
      <c r="B837" s="7"/>
      <c r="C837" s="7"/>
      <c r="D837" s="8"/>
      <c r="E837" s="8"/>
      <c r="F837" s="8"/>
      <c r="G837" s="8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 spans="1:31" ht="11.5" x14ac:dyDescent="0.15">
      <c r="A838" s="7"/>
      <c r="B838" s="7"/>
      <c r="C838" s="7"/>
      <c r="D838" s="8"/>
      <c r="E838" s="8"/>
      <c r="F838" s="8"/>
      <c r="G838" s="8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 spans="1:31" ht="11.5" x14ac:dyDescent="0.15">
      <c r="A839" s="7"/>
      <c r="B839" s="7"/>
      <c r="C839" s="7"/>
      <c r="D839" s="8"/>
      <c r="E839" s="8"/>
      <c r="F839" s="8"/>
      <c r="G839" s="8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 spans="1:31" ht="11.5" x14ac:dyDescent="0.15">
      <c r="A840" s="7"/>
      <c r="B840" s="7"/>
      <c r="C840" s="7"/>
      <c r="D840" s="8"/>
      <c r="E840" s="8"/>
      <c r="F840" s="8"/>
      <c r="G840" s="8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 spans="1:31" ht="11.5" x14ac:dyDescent="0.15">
      <c r="A841" s="7"/>
      <c r="B841" s="7"/>
      <c r="C841" s="7"/>
      <c r="D841" s="8"/>
      <c r="E841" s="8"/>
      <c r="F841" s="8"/>
      <c r="G841" s="8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 spans="1:31" ht="11.5" x14ac:dyDescent="0.15">
      <c r="A842" s="7"/>
      <c r="B842" s="7"/>
      <c r="C842" s="7"/>
      <c r="D842" s="8"/>
      <c r="E842" s="8"/>
      <c r="F842" s="8"/>
      <c r="G842" s="8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 spans="1:31" ht="11.5" x14ac:dyDescent="0.15">
      <c r="A843" s="7"/>
      <c r="B843" s="7"/>
      <c r="C843" s="7"/>
      <c r="D843" s="8"/>
      <c r="E843" s="8"/>
      <c r="F843" s="8"/>
      <c r="G843" s="8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 spans="1:31" ht="11.5" x14ac:dyDescent="0.15">
      <c r="A844" s="7"/>
      <c r="B844" s="7"/>
      <c r="C844" s="7"/>
      <c r="D844" s="8"/>
      <c r="E844" s="8"/>
      <c r="F844" s="8"/>
      <c r="G844" s="8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 spans="1:31" ht="11.5" x14ac:dyDescent="0.15">
      <c r="A845" s="7"/>
      <c r="B845" s="7"/>
      <c r="C845" s="7"/>
      <c r="D845" s="8"/>
      <c r="E845" s="8"/>
      <c r="F845" s="8"/>
      <c r="G845" s="8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 spans="1:31" ht="11.5" x14ac:dyDescent="0.15">
      <c r="A846" s="7"/>
      <c r="B846" s="7"/>
      <c r="C846" s="7"/>
      <c r="D846" s="8"/>
      <c r="E846" s="8"/>
      <c r="F846" s="8"/>
      <c r="G846" s="8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 spans="1:31" ht="11.5" x14ac:dyDescent="0.15">
      <c r="A847" s="7"/>
      <c r="B847" s="7"/>
      <c r="C847" s="7"/>
      <c r="D847" s="8"/>
      <c r="E847" s="8"/>
      <c r="F847" s="8"/>
      <c r="G847" s="8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 spans="1:31" ht="11.5" x14ac:dyDescent="0.15">
      <c r="A848" s="7"/>
      <c r="B848" s="7"/>
      <c r="C848" s="7"/>
      <c r="D848" s="8"/>
      <c r="E848" s="8"/>
      <c r="F848" s="8"/>
      <c r="G848" s="8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 spans="1:31" ht="11.5" x14ac:dyDescent="0.15">
      <c r="A849" s="7"/>
      <c r="B849" s="7"/>
      <c r="C849" s="7"/>
      <c r="D849" s="8"/>
      <c r="E849" s="8"/>
      <c r="F849" s="8"/>
      <c r="G849" s="8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 spans="1:31" ht="11.5" x14ac:dyDescent="0.15">
      <c r="A850" s="7"/>
      <c r="B850" s="7"/>
      <c r="C850" s="7"/>
      <c r="D850" s="8"/>
      <c r="E850" s="8"/>
      <c r="F850" s="8"/>
      <c r="G850" s="8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 spans="1:31" ht="11.5" x14ac:dyDescent="0.15">
      <c r="A851" s="7"/>
      <c r="B851" s="7"/>
      <c r="C851" s="7"/>
      <c r="D851" s="8"/>
      <c r="E851" s="8"/>
      <c r="F851" s="8"/>
      <c r="G851" s="8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 spans="1:31" ht="11.5" x14ac:dyDescent="0.15">
      <c r="A852" s="7"/>
      <c r="B852" s="7"/>
      <c r="C852" s="7"/>
      <c r="D852" s="8"/>
      <c r="E852" s="8"/>
      <c r="F852" s="8"/>
      <c r="G852" s="8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 spans="1:31" ht="11.5" x14ac:dyDescent="0.15">
      <c r="A853" s="7"/>
      <c r="B853" s="7"/>
      <c r="C853" s="7"/>
      <c r="D853" s="8"/>
      <c r="E853" s="8"/>
      <c r="F853" s="8"/>
      <c r="G853" s="8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 spans="1:31" ht="11.5" x14ac:dyDescent="0.15">
      <c r="A854" s="7"/>
      <c r="B854" s="7"/>
      <c r="C854" s="7"/>
      <c r="D854" s="8"/>
      <c r="E854" s="8"/>
      <c r="F854" s="8"/>
      <c r="G854" s="8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 spans="1:31" ht="11.5" x14ac:dyDescent="0.15">
      <c r="A855" s="7"/>
      <c r="B855" s="7"/>
      <c r="C855" s="7"/>
      <c r="D855" s="8"/>
      <c r="E855" s="8"/>
      <c r="F855" s="8"/>
      <c r="G855" s="8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 spans="1:31" ht="11.5" x14ac:dyDescent="0.15">
      <c r="A856" s="7"/>
      <c r="B856" s="7"/>
      <c r="C856" s="7"/>
      <c r="D856" s="8"/>
      <c r="E856" s="8"/>
      <c r="F856" s="8"/>
      <c r="G856" s="8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 spans="1:31" ht="11.5" x14ac:dyDescent="0.15">
      <c r="A857" s="7"/>
      <c r="B857" s="7"/>
      <c r="C857" s="7"/>
      <c r="D857" s="8"/>
      <c r="E857" s="8"/>
      <c r="F857" s="8"/>
      <c r="G857" s="8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 spans="1:31" ht="11.5" x14ac:dyDescent="0.15">
      <c r="A858" s="7"/>
      <c r="B858" s="7"/>
      <c r="C858" s="7"/>
      <c r="D858" s="8"/>
      <c r="E858" s="8"/>
      <c r="F858" s="8"/>
      <c r="G858" s="8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 spans="1:31" ht="11.5" x14ac:dyDescent="0.15">
      <c r="A859" s="7"/>
      <c r="B859" s="7"/>
      <c r="C859" s="7"/>
      <c r="D859" s="8"/>
      <c r="E859" s="8"/>
      <c r="F859" s="8"/>
      <c r="G859" s="8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 spans="1:31" ht="11.5" x14ac:dyDescent="0.15">
      <c r="A860" s="7"/>
      <c r="B860" s="7"/>
      <c r="C860" s="7"/>
      <c r="D860" s="8"/>
      <c r="E860" s="8"/>
      <c r="F860" s="8"/>
      <c r="G860" s="8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 spans="1:31" ht="11.5" x14ac:dyDescent="0.15">
      <c r="A861" s="7"/>
      <c r="B861" s="7"/>
      <c r="C861" s="7"/>
      <c r="D861" s="8"/>
      <c r="E861" s="8"/>
      <c r="F861" s="8"/>
      <c r="G861" s="8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 spans="1:31" ht="11.5" x14ac:dyDescent="0.15">
      <c r="A862" s="7"/>
      <c r="B862" s="7"/>
      <c r="C862" s="7"/>
      <c r="D862" s="8"/>
      <c r="E862" s="8"/>
      <c r="F862" s="8"/>
      <c r="G862" s="8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 spans="1:31" ht="11.5" x14ac:dyDescent="0.15">
      <c r="A863" s="7"/>
      <c r="B863" s="7"/>
      <c r="C863" s="7"/>
      <c r="D863" s="8"/>
      <c r="E863" s="8"/>
      <c r="F863" s="8"/>
      <c r="G863" s="8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 spans="1:31" ht="11.5" x14ac:dyDescent="0.15">
      <c r="A864" s="7"/>
      <c r="B864" s="7"/>
      <c r="C864" s="7"/>
      <c r="D864" s="8"/>
      <c r="E864" s="8"/>
      <c r="F864" s="8"/>
      <c r="G864" s="8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 spans="1:31" ht="11.5" x14ac:dyDescent="0.15">
      <c r="A865" s="7"/>
      <c r="B865" s="7"/>
      <c r="C865" s="7"/>
      <c r="D865" s="8"/>
      <c r="E865" s="8"/>
      <c r="F865" s="8"/>
      <c r="G865" s="8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 spans="1:31" ht="11.5" x14ac:dyDescent="0.15">
      <c r="A866" s="7"/>
      <c r="B866" s="7"/>
      <c r="C866" s="7"/>
      <c r="D866" s="8"/>
      <c r="E866" s="8"/>
      <c r="F866" s="8"/>
      <c r="G866" s="8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 spans="1:31" ht="11.5" x14ac:dyDescent="0.15">
      <c r="A867" s="7"/>
      <c r="B867" s="7"/>
      <c r="C867" s="7"/>
      <c r="D867" s="8"/>
      <c r="E867" s="8"/>
      <c r="F867" s="8"/>
      <c r="G867" s="8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 spans="1:31" ht="11.5" x14ac:dyDescent="0.15">
      <c r="A868" s="7"/>
      <c r="B868" s="7"/>
      <c r="C868" s="7"/>
      <c r="D868" s="8"/>
      <c r="E868" s="8"/>
      <c r="F868" s="8"/>
      <c r="G868" s="8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 spans="1:31" ht="11.5" x14ac:dyDescent="0.15">
      <c r="A869" s="7"/>
      <c r="B869" s="7"/>
      <c r="C869" s="7"/>
      <c r="D869" s="8"/>
      <c r="E869" s="8"/>
      <c r="F869" s="8"/>
      <c r="G869" s="8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 spans="1:31" ht="11.5" x14ac:dyDescent="0.15">
      <c r="A870" s="7"/>
      <c r="B870" s="7"/>
      <c r="C870" s="7"/>
      <c r="D870" s="8"/>
      <c r="E870" s="8"/>
      <c r="F870" s="8"/>
      <c r="G870" s="8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 spans="1:31" ht="11.5" x14ac:dyDescent="0.15">
      <c r="A871" s="7"/>
      <c r="B871" s="7"/>
      <c r="C871" s="7"/>
      <c r="D871" s="8"/>
      <c r="E871" s="8"/>
      <c r="F871" s="8"/>
      <c r="G871" s="8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 spans="1:31" ht="11.5" x14ac:dyDescent="0.15">
      <c r="A872" s="7"/>
      <c r="B872" s="7"/>
      <c r="C872" s="7"/>
      <c r="D872" s="8"/>
      <c r="E872" s="8"/>
      <c r="F872" s="8"/>
      <c r="G872" s="8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 spans="1:31" ht="11.5" x14ac:dyDescent="0.15">
      <c r="A873" s="7"/>
      <c r="B873" s="7"/>
      <c r="C873" s="7"/>
      <c r="D873" s="8"/>
      <c r="E873" s="8"/>
      <c r="F873" s="8"/>
      <c r="G873" s="8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 spans="1:31" ht="11.5" x14ac:dyDescent="0.15">
      <c r="A874" s="7"/>
      <c r="B874" s="7"/>
      <c r="C874" s="7"/>
      <c r="D874" s="8"/>
      <c r="E874" s="8"/>
      <c r="F874" s="8"/>
      <c r="G874" s="8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 spans="1:31" ht="11.5" x14ac:dyDescent="0.15">
      <c r="A875" s="7"/>
      <c r="B875" s="7"/>
      <c r="C875" s="7"/>
      <c r="D875" s="8"/>
      <c r="E875" s="8"/>
      <c r="F875" s="8"/>
      <c r="G875" s="8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 spans="1:31" ht="11.5" x14ac:dyDescent="0.15">
      <c r="A876" s="7"/>
      <c r="B876" s="7"/>
      <c r="C876" s="7"/>
      <c r="D876" s="8"/>
      <c r="E876" s="8"/>
      <c r="F876" s="8"/>
      <c r="G876" s="8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 spans="1:31" ht="11.5" x14ac:dyDescent="0.15">
      <c r="A877" s="7"/>
      <c r="B877" s="7"/>
      <c r="C877" s="7"/>
      <c r="D877" s="8"/>
      <c r="E877" s="8"/>
      <c r="F877" s="8"/>
      <c r="G877" s="8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 spans="1:31" ht="11.5" x14ac:dyDescent="0.15">
      <c r="A878" s="7"/>
      <c r="B878" s="7"/>
      <c r="C878" s="7"/>
      <c r="D878" s="8"/>
      <c r="E878" s="8"/>
      <c r="F878" s="8"/>
      <c r="G878" s="8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 spans="1:31" ht="11.5" x14ac:dyDescent="0.15">
      <c r="A879" s="7"/>
      <c r="B879" s="7"/>
      <c r="C879" s="7"/>
      <c r="D879" s="8"/>
      <c r="E879" s="8"/>
      <c r="F879" s="8"/>
      <c r="G879" s="8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 spans="1:31" ht="11.5" x14ac:dyDescent="0.15">
      <c r="A880" s="7"/>
      <c r="B880" s="7"/>
      <c r="C880" s="7"/>
      <c r="D880" s="8"/>
      <c r="E880" s="8"/>
      <c r="F880" s="8"/>
      <c r="G880" s="8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 spans="1:31" ht="11.5" x14ac:dyDescent="0.15">
      <c r="A881" s="7"/>
      <c r="B881" s="7"/>
      <c r="C881" s="7"/>
      <c r="D881" s="8"/>
      <c r="E881" s="8"/>
      <c r="F881" s="8"/>
      <c r="G881" s="8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 spans="1:31" ht="11.5" x14ac:dyDescent="0.15">
      <c r="A882" s="7"/>
      <c r="B882" s="7"/>
      <c r="C882" s="7"/>
      <c r="D882" s="8"/>
      <c r="E882" s="8"/>
      <c r="F882" s="8"/>
      <c r="G882" s="8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 spans="1:31" ht="11.5" x14ac:dyDescent="0.15">
      <c r="A883" s="7"/>
      <c r="B883" s="7"/>
      <c r="C883" s="7"/>
      <c r="D883" s="8"/>
      <c r="E883" s="8"/>
      <c r="F883" s="8"/>
      <c r="G883" s="8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 spans="1:31" ht="11.5" x14ac:dyDescent="0.15">
      <c r="A884" s="7"/>
      <c r="B884" s="7"/>
      <c r="C884" s="7"/>
      <c r="D884" s="8"/>
      <c r="E884" s="8"/>
      <c r="F884" s="8"/>
      <c r="G884" s="8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 spans="1:31" ht="11.5" x14ac:dyDescent="0.15">
      <c r="A885" s="7"/>
      <c r="B885" s="7"/>
      <c r="C885" s="7"/>
      <c r="D885" s="8"/>
      <c r="E885" s="8"/>
      <c r="F885" s="8"/>
      <c r="G885" s="8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 spans="1:31" ht="11.5" x14ac:dyDescent="0.15">
      <c r="A886" s="7"/>
      <c r="B886" s="7"/>
      <c r="C886" s="7"/>
      <c r="D886" s="8"/>
      <c r="E886" s="8"/>
      <c r="F886" s="8"/>
      <c r="G886" s="8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 spans="1:31" ht="11.5" x14ac:dyDescent="0.15">
      <c r="A887" s="7"/>
      <c r="B887" s="7"/>
      <c r="C887" s="7"/>
      <c r="D887" s="8"/>
      <c r="E887" s="8"/>
      <c r="F887" s="8"/>
      <c r="G887" s="8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 spans="1:31" ht="11.5" x14ac:dyDescent="0.15">
      <c r="A888" s="7"/>
      <c r="B888" s="7"/>
      <c r="C888" s="7"/>
      <c r="D888" s="8"/>
      <c r="E888" s="8"/>
      <c r="F888" s="8"/>
      <c r="G888" s="8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 spans="1:31" ht="11.5" x14ac:dyDescent="0.15">
      <c r="A889" s="7"/>
      <c r="B889" s="7"/>
      <c r="C889" s="7"/>
      <c r="D889" s="8"/>
      <c r="E889" s="8"/>
      <c r="F889" s="8"/>
      <c r="G889" s="8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 spans="1:31" ht="15.75" customHeight="1" x14ac:dyDescent="0.15">
      <c r="A890" s="7"/>
      <c r="B890" s="7"/>
      <c r="C890" s="7"/>
      <c r="D890" s="8"/>
      <c r="E890" s="8"/>
      <c r="F890" s="8"/>
      <c r="G890" s="8"/>
      <c r="H890" s="7"/>
      <c r="I890" s="8"/>
      <c r="J890" s="8"/>
      <c r="K890" s="8"/>
    </row>
    <row r="891" spans="1:31" ht="15.75" customHeight="1" x14ac:dyDescent="0.15">
      <c r="A891" s="7"/>
      <c r="B891" s="7"/>
      <c r="C891" s="7"/>
      <c r="D891" s="8"/>
      <c r="E891" s="8"/>
      <c r="F891" s="8"/>
      <c r="G891" s="8"/>
      <c r="H891" s="7"/>
      <c r="I891" s="8"/>
      <c r="J891" s="8"/>
      <c r="K891" s="8"/>
    </row>
    <row r="892" spans="1:31" ht="15.75" customHeight="1" x14ac:dyDescent="0.15">
      <c r="A892" s="7"/>
      <c r="B892" s="7"/>
      <c r="C892" s="7"/>
      <c r="D892" s="8"/>
      <c r="E892" s="8"/>
      <c r="F892" s="8"/>
      <c r="G892" s="8"/>
      <c r="H892" s="7"/>
      <c r="I892" s="8"/>
      <c r="J892" s="8"/>
      <c r="K892" s="8"/>
    </row>
    <row r="893" spans="1:31" ht="15.75" customHeight="1" x14ac:dyDescent="0.15">
      <c r="A893" s="7"/>
      <c r="B893" s="7"/>
      <c r="C893" s="7"/>
      <c r="D893" s="8"/>
      <c r="E893" s="8"/>
      <c r="F893" s="8"/>
      <c r="G893" s="8"/>
      <c r="H893" s="7"/>
      <c r="I893" s="8"/>
      <c r="J893" s="8"/>
      <c r="K893" s="8"/>
    </row>
    <row r="894" spans="1:31" ht="15.75" customHeight="1" x14ac:dyDescent="0.15">
      <c r="A894" s="7"/>
      <c r="B894" s="7"/>
      <c r="C894" s="7"/>
      <c r="D894" s="8"/>
      <c r="E894" s="8"/>
      <c r="F894" s="8"/>
      <c r="G894" s="8"/>
      <c r="H894" s="7"/>
      <c r="I894" s="8"/>
      <c r="J894" s="8"/>
      <c r="K894" s="8"/>
    </row>
    <row r="895" spans="1:31" ht="15.75" customHeight="1" x14ac:dyDescent="0.15">
      <c r="A895" s="7"/>
      <c r="B895" s="7"/>
      <c r="C895" s="7"/>
      <c r="D895" s="8"/>
      <c r="E895" s="8"/>
      <c r="F895" s="8"/>
      <c r="G895" s="8"/>
      <c r="H895" s="7"/>
      <c r="I895" s="8"/>
      <c r="J895" s="8"/>
      <c r="K895" s="8"/>
    </row>
    <row r="896" spans="1:31" ht="15.75" customHeight="1" x14ac:dyDescent="0.15">
      <c r="A896" s="7"/>
      <c r="B896" s="7"/>
      <c r="C896" s="7"/>
      <c r="D896" s="8"/>
      <c r="E896" s="8"/>
      <c r="F896" s="8"/>
      <c r="G896" s="8"/>
      <c r="H896" s="7"/>
      <c r="I896" s="8"/>
      <c r="J896" s="8"/>
      <c r="K896" s="8"/>
    </row>
    <row r="897" spans="1:11" ht="15.75" customHeight="1" x14ac:dyDescent="0.15">
      <c r="A897" s="7"/>
      <c r="B897" s="7"/>
      <c r="C897" s="7"/>
      <c r="D897" s="8"/>
      <c r="E897" s="8"/>
      <c r="F897" s="8"/>
      <c r="G897" s="8"/>
      <c r="H897" s="7"/>
      <c r="I897" s="8"/>
      <c r="J897" s="8"/>
      <c r="K897" s="8"/>
    </row>
    <row r="898" spans="1:11" ht="15.75" customHeight="1" x14ac:dyDescent="0.15">
      <c r="A898" s="7"/>
      <c r="B898" s="7"/>
      <c r="C898" s="7"/>
      <c r="D898" s="8"/>
      <c r="E898" s="8"/>
      <c r="F898" s="8"/>
      <c r="G898" s="8"/>
      <c r="H898" s="7"/>
      <c r="I898" s="8"/>
      <c r="J898" s="8"/>
      <c r="K898" s="8"/>
    </row>
    <row r="899" spans="1:11" ht="15.75" customHeight="1" x14ac:dyDescent="0.15">
      <c r="A899" s="7"/>
      <c r="B899" s="7"/>
      <c r="C899" s="7"/>
      <c r="D899" s="8"/>
      <c r="E899" s="8"/>
      <c r="F899" s="8"/>
      <c r="G899" s="8"/>
      <c r="H899" s="7"/>
      <c r="I899" s="8"/>
      <c r="J899" s="8"/>
      <c r="K899" s="8"/>
    </row>
    <row r="900" spans="1:11" ht="15.75" customHeight="1" x14ac:dyDescent="0.15">
      <c r="A900" s="7"/>
      <c r="B900" s="7"/>
      <c r="C900" s="7"/>
      <c r="D900" s="8"/>
      <c r="E900" s="8"/>
      <c r="F900" s="8"/>
      <c r="G900" s="8"/>
      <c r="H900" s="7"/>
      <c r="I900" s="8"/>
      <c r="J900" s="8"/>
      <c r="K900" s="8"/>
    </row>
    <row r="901" spans="1:11" ht="15.75" customHeight="1" x14ac:dyDescent="0.15">
      <c r="A901" s="7"/>
      <c r="B901" s="7"/>
      <c r="C901" s="7"/>
      <c r="D901" s="8"/>
      <c r="E901" s="8"/>
      <c r="F901" s="8"/>
      <c r="G901" s="8"/>
      <c r="H901" s="7"/>
      <c r="I901" s="8"/>
      <c r="J901" s="8"/>
      <c r="K901" s="8"/>
    </row>
    <row r="902" spans="1:11" ht="15.75" customHeight="1" x14ac:dyDescent="0.15">
      <c r="A902" s="7"/>
      <c r="B902" s="7"/>
      <c r="C902" s="7"/>
      <c r="D902" s="8"/>
      <c r="E902" s="8"/>
      <c r="F902" s="8"/>
      <c r="G902" s="8"/>
      <c r="H902" s="7"/>
      <c r="I902" s="8"/>
      <c r="J902" s="8"/>
      <c r="K902" s="8"/>
    </row>
    <row r="903" spans="1:11" ht="15.75" customHeight="1" x14ac:dyDescent="0.15">
      <c r="A903" s="7"/>
      <c r="B903" s="7"/>
      <c r="C903" s="7"/>
      <c r="D903" s="8"/>
      <c r="E903" s="8"/>
      <c r="F903" s="8"/>
      <c r="G903" s="8"/>
      <c r="H903" s="7"/>
      <c r="I903" s="8"/>
      <c r="J903" s="8"/>
      <c r="K903" s="8"/>
    </row>
    <row r="904" spans="1:11" ht="15.75" customHeight="1" x14ac:dyDescent="0.15">
      <c r="A904" s="7"/>
      <c r="B904" s="7"/>
      <c r="C904" s="7"/>
      <c r="D904" s="8"/>
      <c r="E904" s="8"/>
      <c r="F904" s="8"/>
      <c r="G904" s="8"/>
      <c r="H904" s="7"/>
      <c r="I904" s="8"/>
      <c r="J904" s="8"/>
      <c r="K904" s="8"/>
    </row>
    <row r="905" spans="1:11" ht="15.75" customHeight="1" x14ac:dyDescent="0.15">
      <c r="A905" s="7"/>
      <c r="B905" s="7"/>
      <c r="C905" s="7"/>
      <c r="D905" s="8"/>
      <c r="E905" s="8"/>
      <c r="F905" s="8"/>
      <c r="G905" s="8"/>
      <c r="H905" s="7"/>
      <c r="I905" s="8"/>
      <c r="J905" s="8"/>
      <c r="K905" s="8"/>
    </row>
    <row r="906" spans="1:11" ht="15.75" customHeight="1" x14ac:dyDescent="0.15">
      <c r="A906" s="7"/>
      <c r="B906" s="7"/>
      <c r="C906" s="7"/>
      <c r="D906" s="8"/>
      <c r="E906" s="8"/>
      <c r="F906" s="8"/>
      <c r="G906" s="8"/>
      <c r="H906" s="7"/>
      <c r="I906" s="8"/>
      <c r="J906" s="8"/>
      <c r="K906" s="8"/>
    </row>
    <row r="907" spans="1:11" ht="15.75" customHeight="1" x14ac:dyDescent="0.15">
      <c r="A907" s="7"/>
      <c r="B907" s="7"/>
      <c r="C907" s="7"/>
      <c r="D907" s="8"/>
      <c r="E907" s="8"/>
      <c r="F907" s="8"/>
      <c r="G907" s="8"/>
      <c r="H907" s="7"/>
      <c r="I907" s="8"/>
      <c r="J907" s="8"/>
      <c r="K907" s="8"/>
    </row>
    <row r="908" spans="1:11" ht="15.75" customHeight="1" x14ac:dyDescent="0.15">
      <c r="A908" s="7"/>
      <c r="B908" s="7"/>
      <c r="C908" s="7"/>
      <c r="D908" s="8"/>
      <c r="E908" s="8"/>
      <c r="F908" s="8"/>
      <c r="G908" s="8"/>
      <c r="H908" s="7"/>
      <c r="I908" s="8"/>
      <c r="J908" s="8"/>
      <c r="K908" s="8"/>
    </row>
    <row r="909" spans="1:11" ht="15.75" customHeight="1" x14ac:dyDescent="0.15">
      <c r="A909" s="7"/>
      <c r="B909" s="7"/>
      <c r="C909" s="7"/>
      <c r="D909" s="8"/>
      <c r="E909" s="8"/>
      <c r="F909" s="8"/>
      <c r="G909" s="8"/>
      <c r="H909" s="7"/>
      <c r="I909" s="8"/>
      <c r="J909" s="8"/>
      <c r="K909" s="8"/>
    </row>
    <row r="910" spans="1:11" ht="15.75" customHeight="1" x14ac:dyDescent="0.15">
      <c r="A910" s="7"/>
      <c r="B910" s="7"/>
      <c r="C910" s="7"/>
      <c r="D910" s="8"/>
      <c r="E910" s="8"/>
      <c r="F910" s="8"/>
      <c r="G910" s="8"/>
      <c r="H910" s="7"/>
      <c r="I910" s="8"/>
      <c r="J910" s="8"/>
      <c r="K910" s="8"/>
    </row>
    <row r="911" spans="1:11" ht="15.75" customHeight="1" x14ac:dyDescent="0.15">
      <c r="A911" s="7"/>
      <c r="B911" s="7"/>
      <c r="C911" s="7"/>
      <c r="D911" s="8"/>
      <c r="E911" s="8"/>
      <c r="F911" s="8"/>
      <c r="G911" s="8"/>
      <c r="H911" s="7"/>
      <c r="I911" s="8"/>
      <c r="J911" s="8"/>
      <c r="K911" s="8"/>
    </row>
    <row r="912" spans="1:11" ht="15.75" customHeight="1" x14ac:dyDescent="0.15">
      <c r="A912" s="7"/>
      <c r="B912" s="7"/>
      <c r="C912" s="7"/>
      <c r="D912" s="8"/>
      <c r="E912" s="8"/>
      <c r="F912" s="8"/>
      <c r="G912" s="8"/>
      <c r="H912" s="7"/>
      <c r="I912" s="8"/>
      <c r="J912" s="8"/>
      <c r="K912" s="8"/>
    </row>
    <row r="913" spans="1:11" ht="15.75" customHeight="1" x14ac:dyDescent="0.15">
      <c r="A913" s="7"/>
      <c r="B913" s="7"/>
      <c r="C913" s="7"/>
      <c r="D913" s="8"/>
      <c r="E913" s="8"/>
      <c r="F913" s="8"/>
      <c r="G913" s="8"/>
      <c r="H913" s="7"/>
      <c r="I913" s="8"/>
      <c r="J913" s="8"/>
      <c r="K913" s="8"/>
    </row>
    <row r="914" spans="1:11" ht="15.75" customHeight="1" x14ac:dyDescent="0.15">
      <c r="A914" s="7"/>
      <c r="B914" s="7"/>
      <c r="C914" s="7"/>
      <c r="D914" s="8"/>
      <c r="E914" s="8"/>
      <c r="F914" s="8"/>
      <c r="G914" s="8"/>
      <c r="H914" s="7"/>
      <c r="I914" s="8"/>
      <c r="J914" s="8"/>
      <c r="K914" s="8"/>
    </row>
    <row r="915" spans="1:11" ht="15.75" customHeight="1" x14ac:dyDescent="0.15">
      <c r="A915" s="7"/>
      <c r="B915" s="7"/>
      <c r="C915" s="7"/>
      <c r="D915" s="8"/>
      <c r="E915" s="8"/>
      <c r="F915" s="8"/>
      <c r="G915" s="8"/>
      <c r="H915" s="7"/>
      <c r="I915" s="8"/>
      <c r="J915" s="8"/>
      <c r="K915" s="8"/>
    </row>
    <row r="916" spans="1:11" ht="15.75" customHeight="1" x14ac:dyDescent="0.15">
      <c r="A916" s="7"/>
      <c r="B916" s="7"/>
      <c r="C916" s="7"/>
      <c r="D916" s="8"/>
      <c r="E916" s="8"/>
      <c r="F916" s="8"/>
      <c r="G916" s="8"/>
      <c r="H916" s="7"/>
      <c r="I916" s="8"/>
      <c r="J916" s="8"/>
      <c r="K916" s="8"/>
    </row>
    <row r="917" spans="1:11" ht="15.75" customHeight="1" x14ac:dyDescent="0.15">
      <c r="A917" s="7"/>
      <c r="B917" s="7"/>
      <c r="C917" s="7"/>
      <c r="D917" s="8"/>
      <c r="E917" s="8"/>
      <c r="F917" s="8"/>
      <c r="G917" s="8"/>
      <c r="H917" s="7"/>
      <c r="I917" s="8"/>
      <c r="J917" s="8"/>
      <c r="K917" s="8"/>
    </row>
    <row r="918" spans="1:11" ht="15.75" customHeight="1" x14ac:dyDescent="0.15">
      <c r="A918" s="7"/>
      <c r="B918" s="7"/>
      <c r="C918" s="7"/>
      <c r="D918" s="8"/>
      <c r="E918" s="8"/>
      <c r="F918" s="8"/>
      <c r="G918" s="8"/>
      <c r="H918" s="7"/>
      <c r="I918" s="8"/>
      <c r="J918" s="8"/>
      <c r="K918" s="8"/>
    </row>
    <row r="919" spans="1:11" ht="15.75" customHeight="1" x14ac:dyDescent="0.15">
      <c r="A919" s="7"/>
      <c r="B919" s="7"/>
      <c r="C919" s="7"/>
      <c r="D919" s="8"/>
      <c r="E919" s="8"/>
      <c r="F919" s="8"/>
      <c r="G919" s="8"/>
      <c r="H919" s="7"/>
      <c r="I919" s="8"/>
      <c r="J919" s="8"/>
      <c r="K919" s="8"/>
    </row>
    <row r="920" spans="1:11" ht="15.75" customHeight="1" x14ac:dyDescent="0.15">
      <c r="A920" s="7"/>
      <c r="B920" s="7"/>
      <c r="C920" s="7"/>
      <c r="D920" s="8"/>
      <c r="E920" s="8"/>
      <c r="F920" s="8"/>
      <c r="G920" s="8"/>
      <c r="H920" s="7"/>
      <c r="I920" s="8"/>
      <c r="J920" s="8"/>
      <c r="K920" s="8"/>
    </row>
    <row r="921" spans="1:11" ht="15.75" customHeight="1" x14ac:dyDescent="0.15">
      <c r="A921" s="7"/>
      <c r="B921" s="7"/>
      <c r="C921" s="7"/>
      <c r="D921" s="8"/>
      <c r="E921" s="8"/>
      <c r="F921" s="8"/>
      <c r="G921" s="8"/>
      <c r="H921" s="7"/>
      <c r="I921" s="8"/>
      <c r="J921" s="8"/>
      <c r="K921" s="8"/>
    </row>
    <row r="922" spans="1:11" ht="15.75" customHeight="1" x14ac:dyDescent="0.15">
      <c r="A922" s="7"/>
      <c r="B922" s="7"/>
      <c r="C922" s="7"/>
      <c r="D922" s="8"/>
      <c r="E922" s="8"/>
      <c r="F922" s="8"/>
      <c r="G922" s="8"/>
      <c r="H922" s="7"/>
      <c r="I922" s="8"/>
      <c r="J922" s="8"/>
    </row>
    <row r="923" spans="1:11" ht="15.75" customHeight="1" x14ac:dyDescent="0.15">
      <c r="A923" s="7"/>
      <c r="B923" s="7"/>
      <c r="C923" s="7"/>
      <c r="D923" s="8"/>
      <c r="E923" s="8"/>
      <c r="F923" s="8"/>
      <c r="G923" s="8"/>
      <c r="H923" s="7"/>
      <c r="I923" s="8"/>
      <c r="J923" s="8"/>
    </row>
    <row r="924" spans="1:11" ht="15.75" customHeight="1" x14ac:dyDescent="0.15">
      <c r="A924" s="7"/>
      <c r="B924" s="7"/>
      <c r="C924" s="7"/>
      <c r="D924" s="8"/>
      <c r="E924" s="8"/>
      <c r="F924" s="8"/>
      <c r="G924" s="8"/>
      <c r="H924" s="7"/>
      <c r="I924" s="8"/>
      <c r="J924" s="8"/>
    </row>
    <row r="925" spans="1:11" ht="15.75" customHeight="1" x14ac:dyDescent="0.15">
      <c r="A925" s="7"/>
      <c r="B925" s="7"/>
      <c r="C925" s="7"/>
      <c r="D925" s="8"/>
      <c r="E925" s="8"/>
      <c r="F925" s="8"/>
      <c r="G925" s="8"/>
      <c r="H925" s="7"/>
      <c r="I925" s="8"/>
      <c r="J925" s="8"/>
    </row>
    <row r="926" spans="1:11" ht="15.75" customHeight="1" x14ac:dyDescent="0.15">
      <c r="A926" s="7"/>
      <c r="B926" s="7"/>
      <c r="C926" s="7"/>
      <c r="D926" s="8"/>
      <c r="E926" s="8"/>
      <c r="F926" s="8"/>
      <c r="G926" s="8"/>
      <c r="H926" s="7"/>
      <c r="I926" s="8"/>
      <c r="J926" s="8"/>
    </row>
    <row r="927" spans="1:11" ht="15.75" customHeight="1" x14ac:dyDescent="0.15">
      <c r="A927" s="7"/>
      <c r="B927" s="7"/>
      <c r="C927" s="7"/>
      <c r="D927" s="8"/>
      <c r="E927" s="8"/>
      <c r="F927" s="8"/>
      <c r="G927" s="8"/>
      <c r="H927" s="7"/>
      <c r="I927" s="8"/>
      <c r="J927" s="8"/>
    </row>
    <row r="928" spans="1:11" ht="15.75" customHeight="1" x14ac:dyDescent="0.15">
      <c r="A928" s="7"/>
      <c r="B928" s="7"/>
      <c r="C928" s="7"/>
      <c r="D928" s="8"/>
      <c r="E928" s="8"/>
      <c r="F928" s="8"/>
      <c r="G928" s="8"/>
      <c r="H928" s="7"/>
      <c r="I928" s="8"/>
      <c r="J928" s="8"/>
    </row>
    <row r="929" spans="1:10" ht="15.75" customHeight="1" x14ac:dyDescent="0.15">
      <c r="A929" s="7"/>
      <c r="B929" s="7"/>
      <c r="C929" s="7"/>
      <c r="D929" s="8"/>
      <c r="E929" s="8"/>
      <c r="F929" s="8"/>
      <c r="G929" s="8"/>
      <c r="H929" s="7"/>
      <c r="I929" s="8"/>
      <c r="J929" s="8"/>
    </row>
    <row r="930" spans="1:10" ht="15.75" customHeight="1" x14ac:dyDescent="0.15">
      <c r="A930" s="7"/>
      <c r="B930" s="7"/>
      <c r="C930" s="7"/>
      <c r="D930" s="8"/>
      <c r="E930" s="8"/>
      <c r="F930" s="8"/>
      <c r="G930" s="8"/>
      <c r="H930" s="7"/>
      <c r="I930" s="8"/>
      <c r="J930" s="8"/>
    </row>
    <row r="931" spans="1:10" ht="15.75" customHeight="1" x14ac:dyDescent="0.15">
      <c r="A931" s="7"/>
      <c r="B931" s="7"/>
      <c r="C931" s="7"/>
      <c r="D931" s="8"/>
      <c r="E931" s="8"/>
      <c r="F931" s="8"/>
      <c r="G931" s="8"/>
      <c r="H931" s="7"/>
      <c r="I931" s="8"/>
      <c r="J931" s="8"/>
    </row>
    <row r="932" spans="1:10" ht="15.75" customHeight="1" x14ac:dyDescent="0.15">
      <c r="A932" s="7"/>
      <c r="B932" s="7"/>
      <c r="C932" s="7"/>
      <c r="D932" s="8"/>
      <c r="E932" s="8"/>
      <c r="F932" s="8"/>
      <c r="G932" s="8"/>
      <c r="H932" s="7"/>
      <c r="I932" s="8"/>
      <c r="J932" s="8"/>
    </row>
    <row r="933" spans="1:10" ht="15.75" customHeight="1" x14ac:dyDescent="0.15">
      <c r="A933" s="7"/>
      <c r="B933" s="7"/>
      <c r="C933" s="7"/>
      <c r="D933" s="8"/>
      <c r="E933" s="8"/>
      <c r="F933" s="8"/>
      <c r="G933" s="8"/>
      <c r="H933" s="7"/>
      <c r="I933" s="8"/>
      <c r="J933" s="8"/>
    </row>
    <row r="934" spans="1:10" ht="15.75" customHeight="1" x14ac:dyDescent="0.15">
      <c r="A934" s="7"/>
      <c r="B934" s="7"/>
      <c r="C934" s="7"/>
      <c r="D934" s="8"/>
      <c r="E934" s="8"/>
      <c r="F934" s="8"/>
      <c r="G934" s="8"/>
      <c r="H934" s="7"/>
      <c r="I934" s="8"/>
      <c r="J934" s="8"/>
    </row>
    <row r="935" spans="1:10" ht="15.75" customHeight="1" x14ac:dyDescent="0.15">
      <c r="A935" s="7"/>
      <c r="B935" s="7"/>
      <c r="C935" s="7"/>
      <c r="D935" s="8"/>
      <c r="E935" s="8"/>
      <c r="F935" s="8"/>
      <c r="G935" s="8"/>
      <c r="H935" s="7"/>
      <c r="I935" s="8"/>
      <c r="J935" s="8"/>
    </row>
    <row r="936" spans="1:10" ht="15.75" customHeight="1" x14ac:dyDescent="0.15">
      <c r="A936" s="7"/>
      <c r="B936" s="7"/>
      <c r="C936" s="7"/>
      <c r="D936" s="8"/>
      <c r="E936" s="8"/>
      <c r="F936" s="8"/>
      <c r="G936" s="8"/>
      <c r="H936" s="7"/>
      <c r="I936" s="8"/>
      <c r="J936" s="8"/>
    </row>
    <row r="937" spans="1:10" ht="15.75" customHeight="1" x14ac:dyDescent="0.15">
      <c r="A937" s="7"/>
      <c r="B937" s="7"/>
      <c r="C937" s="7"/>
      <c r="D937" s="8"/>
      <c r="E937" s="8"/>
      <c r="F937" s="8"/>
      <c r="G937" s="8"/>
      <c r="H937" s="7"/>
      <c r="I937" s="8"/>
      <c r="J937" s="8"/>
    </row>
    <row r="938" spans="1:10" ht="15.75" customHeight="1" x14ac:dyDescent="0.15">
      <c r="A938" s="7"/>
      <c r="B938" s="7"/>
      <c r="C938" s="7"/>
      <c r="D938" s="8"/>
      <c r="E938" s="8"/>
      <c r="F938" s="8"/>
      <c r="G938" s="8"/>
      <c r="H938" s="7"/>
      <c r="I938" s="8"/>
      <c r="J938" s="8"/>
    </row>
    <row r="939" spans="1:10" ht="15.75" customHeight="1" x14ac:dyDescent="0.15">
      <c r="A939" s="7"/>
      <c r="B939" s="7"/>
      <c r="C939" s="7"/>
      <c r="D939" s="8"/>
      <c r="E939" s="8"/>
      <c r="F939" s="8"/>
      <c r="G939" s="8"/>
      <c r="H939" s="7"/>
      <c r="I939" s="8"/>
      <c r="J939" s="8"/>
    </row>
    <row r="940" spans="1:10" ht="15.75" customHeight="1" x14ac:dyDescent="0.15">
      <c r="A940" s="7"/>
      <c r="B940" s="7"/>
      <c r="C940" s="7"/>
      <c r="D940" s="8"/>
      <c r="E940" s="8"/>
      <c r="F940" s="8"/>
      <c r="G940" s="8"/>
      <c r="H940" s="7"/>
      <c r="I940" s="8"/>
    </row>
    <row r="941" spans="1:10" ht="15.75" customHeight="1" x14ac:dyDescent="0.15">
      <c r="A941" s="7"/>
      <c r="B941" s="7"/>
      <c r="C941" s="7"/>
      <c r="D941" s="8"/>
      <c r="E941" s="8"/>
      <c r="F941" s="8"/>
      <c r="G941" s="8"/>
      <c r="H941" s="7"/>
      <c r="I941" s="8"/>
    </row>
    <row r="942" spans="1:10" ht="15.75" customHeight="1" x14ac:dyDescent="0.15">
      <c r="A942" s="7"/>
      <c r="B942" s="7"/>
      <c r="C942" s="7"/>
      <c r="D942" s="8"/>
      <c r="E942" s="8"/>
      <c r="F942" s="8"/>
      <c r="G942" s="8"/>
      <c r="H942" s="7"/>
      <c r="I942" s="8"/>
    </row>
    <row r="943" spans="1:10" ht="15.75" customHeight="1" x14ac:dyDescent="0.15">
      <c r="A943" s="7"/>
      <c r="B943" s="7"/>
      <c r="C943" s="7"/>
      <c r="D943" s="8"/>
      <c r="E943" s="8"/>
      <c r="F943" s="8"/>
      <c r="G943" s="8"/>
      <c r="H943" s="7"/>
      <c r="I943" s="8"/>
    </row>
    <row r="944" spans="1:10" ht="15.75" customHeight="1" x14ac:dyDescent="0.15">
      <c r="A944" s="7"/>
      <c r="B944" s="7"/>
      <c r="C944" s="7"/>
      <c r="D944" s="8"/>
      <c r="E944" s="8"/>
      <c r="F944" s="8"/>
      <c r="G944" s="8"/>
      <c r="H944" s="7"/>
      <c r="I944" s="8"/>
    </row>
    <row r="945" spans="1:9" ht="15.75" customHeight="1" x14ac:dyDescent="0.15">
      <c r="A945" s="7"/>
      <c r="B945" s="7"/>
      <c r="C945" s="7"/>
      <c r="D945" s="8"/>
      <c r="E945" s="8"/>
      <c r="F945" s="8"/>
      <c r="G945" s="8"/>
      <c r="H945" s="7"/>
      <c r="I945" s="8"/>
    </row>
    <row r="946" spans="1:9" ht="15.75" customHeight="1" x14ac:dyDescent="0.15">
      <c r="A946" s="7"/>
      <c r="B946" s="7"/>
      <c r="C946" s="7"/>
      <c r="D946" s="8"/>
      <c r="E946" s="8"/>
      <c r="F946" s="8"/>
      <c r="G946" s="8"/>
      <c r="H946" s="7"/>
      <c r="I946" s="8"/>
    </row>
    <row r="947" spans="1:9" ht="15.75" customHeight="1" x14ac:dyDescent="0.15">
      <c r="A947" s="7"/>
      <c r="B947" s="7"/>
      <c r="C947" s="7"/>
      <c r="D947" s="8"/>
      <c r="E947" s="8"/>
      <c r="F947" s="8"/>
      <c r="G947" s="8"/>
      <c r="H947" s="7"/>
      <c r="I947" s="8"/>
    </row>
    <row r="948" spans="1:9" ht="15.75" customHeight="1" x14ac:dyDescent="0.15">
      <c r="A948" s="7"/>
      <c r="B948" s="7"/>
      <c r="C948" s="7"/>
      <c r="D948" s="8"/>
      <c r="E948" s="8"/>
      <c r="F948" s="8"/>
      <c r="G948" s="8"/>
      <c r="H948" s="7"/>
      <c r="I948" s="8"/>
    </row>
    <row r="949" spans="1:9" ht="15.75" customHeight="1" x14ac:dyDescent="0.15">
      <c r="A949" s="7"/>
      <c r="B949" s="7"/>
      <c r="C949" s="7"/>
      <c r="D949" s="8"/>
      <c r="E949" s="8"/>
      <c r="F949" s="8"/>
      <c r="G949" s="8"/>
      <c r="H949" s="7"/>
      <c r="I949" s="8"/>
    </row>
    <row r="950" spans="1:9" ht="15.75" customHeight="1" x14ac:dyDescent="0.15">
      <c r="A950" s="7"/>
      <c r="B950" s="7"/>
      <c r="C950" s="7"/>
      <c r="D950" s="8"/>
      <c r="E950" s="8"/>
      <c r="F950" s="8"/>
      <c r="G950" s="8"/>
      <c r="H950" s="7"/>
      <c r="I950" s="8"/>
    </row>
    <row r="951" spans="1:9" ht="15.75" customHeight="1" x14ac:dyDescent="0.15">
      <c r="A951" s="7"/>
      <c r="B951" s="7"/>
      <c r="C951" s="7"/>
      <c r="D951" s="8"/>
      <c r="E951" s="8"/>
      <c r="F951" s="8"/>
      <c r="G951" s="8"/>
      <c r="H951" s="7"/>
      <c r="I951" s="8"/>
    </row>
    <row r="952" spans="1:9" ht="15.75" customHeight="1" x14ac:dyDescent="0.15">
      <c r="A952" s="7"/>
      <c r="B952" s="7"/>
      <c r="C952" s="7"/>
      <c r="D952" s="8"/>
      <c r="E952" s="8"/>
      <c r="F952" s="8"/>
      <c r="G952" s="8"/>
      <c r="H952" s="7"/>
      <c r="I952" s="8"/>
    </row>
    <row r="953" spans="1:9" ht="15.75" customHeight="1" x14ac:dyDescent="0.15">
      <c r="A953" s="7"/>
      <c r="B953" s="7"/>
      <c r="C953" s="7"/>
      <c r="D953" s="8"/>
      <c r="E953" s="8"/>
      <c r="F953" s="8"/>
      <c r="G953" s="8"/>
      <c r="H953" s="7"/>
      <c r="I953" s="8"/>
    </row>
    <row r="954" spans="1:9" ht="15.75" customHeight="1" x14ac:dyDescent="0.15">
      <c r="A954" s="7"/>
      <c r="B954" s="7"/>
      <c r="C954" s="7"/>
      <c r="D954" s="8"/>
      <c r="E954" s="8"/>
      <c r="F954" s="8"/>
      <c r="G954" s="8"/>
      <c r="H954" s="7"/>
      <c r="I954" s="8"/>
    </row>
    <row r="955" spans="1:9" ht="15.75" customHeight="1" x14ac:dyDescent="0.15">
      <c r="A955" s="7"/>
      <c r="B955" s="7"/>
      <c r="C955" s="7"/>
      <c r="D955" s="8"/>
      <c r="E955" s="8"/>
      <c r="F955" s="8"/>
      <c r="G955" s="8"/>
      <c r="H955" s="7"/>
      <c r="I955" s="8"/>
    </row>
    <row r="956" spans="1:9" ht="15.75" customHeight="1" x14ac:dyDescent="0.15">
      <c r="A956" s="7"/>
      <c r="B956" s="7"/>
      <c r="C956" s="7"/>
      <c r="D956" s="8"/>
      <c r="E956" s="8"/>
      <c r="F956" s="8"/>
      <c r="G956" s="8"/>
      <c r="H956" s="7"/>
      <c r="I956" s="8"/>
    </row>
    <row r="957" spans="1:9" ht="15.75" customHeight="1" x14ac:dyDescent="0.15">
      <c r="A957" s="7"/>
      <c r="B957" s="7"/>
      <c r="C957" s="7"/>
      <c r="D957" s="8"/>
      <c r="E957" s="8"/>
      <c r="F957" s="8"/>
      <c r="G957" s="8"/>
      <c r="H957" s="7"/>
      <c r="I957" s="8"/>
    </row>
    <row r="958" spans="1:9" ht="15.75" customHeight="1" x14ac:dyDescent="0.15">
      <c r="A958" s="7"/>
      <c r="B958" s="7"/>
      <c r="C958" s="7"/>
      <c r="D958" s="8"/>
      <c r="E958" s="8"/>
      <c r="F958" s="8"/>
      <c r="G958" s="8"/>
      <c r="H958" s="7"/>
      <c r="I958" s="8"/>
    </row>
    <row r="959" spans="1:9" ht="15.75" customHeight="1" x14ac:dyDescent="0.15">
      <c r="A959" s="7"/>
      <c r="B959" s="7"/>
      <c r="C959" s="7"/>
      <c r="D959" s="8"/>
      <c r="E959" s="8"/>
      <c r="F959" s="8"/>
      <c r="G959" s="8"/>
      <c r="H959" s="7"/>
      <c r="I959" s="8"/>
    </row>
    <row r="960" spans="1:9" ht="15.75" customHeight="1" x14ac:dyDescent="0.15">
      <c r="A960" s="7"/>
      <c r="B960" s="7"/>
      <c r="C960" s="7"/>
      <c r="D960" s="8"/>
      <c r="E960" s="8"/>
      <c r="F960" s="8"/>
      <c r="G960" s="8"/>
      <c r="H960" s="7"/>
      <c r="I960" s="8"/>
    </row>
    <row r="961" spans="1:9" ht="15.75" customHeight="1" x14ac:dyDescent="0.15">
      <c r="A961" s="7"/>
      <c r="B961" s="7"/>
      <c r="C961" s="7"/>
      <c r="D961" s="8"/>
      <c r="E961" s="8"/>
      <c r="F961" s="8"/>
      <c r="G961" s="8"/>
      <c r="H961" s="7"/>
      <c r="I961" s="8"/>
    </row>
    <row r="962" spans="1:9" ht="15.75" customHeight="1" x14ac:dyDescent="0.15">
      <c r="A962" s="7"/>
      <c r="B962" s="7"/>
      <c r="C962" s="7"/>
      <c r="D962" s="8"/>
      <c r="E962" s="8"/>
      <c r="F962" s="8"/>
      <c r="G962" s="8"/>
      <c r="H962" s="7"/>
      <c r="I962" s="8"/>
    </row>
    <row r="963" spans="1:9" ht="15.75" customHeight="1" x14ac:dyDescent="0.15">
      <c r="A963" s="7"/>
      <c r="B963" s="7"/>
      <c r="C963" s="7"/>
      <c r="D963" s="8"/>
      <c r="E963" s="8"/>
      <c r="F963" s="8"/>
      <c r="G963" s="8"/>
      <c r="H963" s="7"/>
      <c r="I963" s="8"/>
    </row>
    <row r="964" spans="1:9" ht="15.75" customHeight="1" x14ac:dyDescent="0.15">
      <c r="A964" s="7"/>
      <c r="B964" s="7"/>
      <c r="C964" s="7"/>
      <c r="D964" s="8"/>
      <c r="E964" s="8"/>
      <c r="F964" s="8"/>
      <c r="G964" s="8"/>
      <c r="H964" s="7"/>
      <c r="I964" s="8"/>
    </row>
    <row r="965" spans="1:9" ht="15.75" customHeight="1" x14ac:dyDescent="0.15">
      <c r="A965" s="7"/>
      <c r="B965" s="7"/>
      <c r="C965" s="7"/>
      <c r="D965" s="8"/>
      <c r="E965" s="8"/>
      <c r="F965" s="8"/>
      <c r="G965" s="8"/>
      <c r="H965" s="7"/>
      <c r="I965" s="8"/>
    </row>
    <row r="966" spans="1:9" ht="15.75" customHeight="1" x14ac:dyDescent="0.15">
      <c r="A966" s="7"/>
      <c r="B966" s="7"/>
      <c r="C966" s="7"/>
      <c r="D966" s="8"/>
      <c r="E966" s="8"/>
      <c r="F966" s="8"/>
      <c r="G966" s="8"/>
      <c r="H966" s="7"/>
      <c r="I966" s="8"/>
    </row>
    <row r="967" spans="1:9" ht="15.75" customHeight="1" x14ac:dyDescent="0.15">
      <c r="A967" s="7"/>
      <c r="B967" s="7"/>
      <c r="C967" s="7"/>
      <c r="D967" s="8"/>
      <c r="E967" s="8"/>
      <c r="F967" s="8"/>
      <c r="G967" s="8"/>
      <c r="H967" s="7"/>
      <c r="I967" s="8"/>
    </row>
    <row r="968" spans="1:9" ht="15.75" customHeight="1" x14ac:dyDescent="0.15">
      <c r="A968" s="7"/>
      <c r="B968" s="7"/>
      <c r="C968" s="7"/>
      <c r="D968" s="8"/>
      <c r="E968" s="8"/>
      <c r="F968" s="8"/>
      <c r="G968" s="8"/>
      <c r="H968" s="7"/>
      <c r="I968" s="8"/>
    </row>
    <row r="969" spans="1:9" ht="15.75" customHeight="1" x14ac:dyDescent="0.15">
      <c r="A969" s="7"/>
      <c r="B969" s="7"/>
      <c r="C969" s="7"/>
      <c r="D969" s="8"/>
      <c r="E969" s="8"/>
      <c r="F969" s="8"/>
      <c r="G969" s="8"/>
      <c r="H969" s="7"/>
      <c r="I969" s="8"/>
    </row>
    <row r="970" spans="1:9" ht="15.75" customHeight="1" x14ac:dyDescent="0.15">
      <c r="A970" s="7"/>
      <c r="B970" s="7"/>
      <c r="C970" s="7"/>
      <c r="D970" s="8"/>
      <c r="E970" s="8"/>
      <c r="F970" s="8"/>
      <c r="G970" s="8"/>
      <c r="H970" s="7"/>
      <c r="I970" s="8"/>
    </row>
    <row r="971" spans="1:9" ht="15.75" customHeight="1" x14ac:dyDescent="0.15">
      <c r="A971" s="7"/>
      <c r="B971" s="7"/>
      <c r="C971" s="7"/>
      <c r="D971" s="8"/>
      <c r="E971" s="8"/>
      <c r="F971" s="8"/>
      <c r="G971" s="8"/>
      <c r="H971" s="7"/>
      <c r="I971" s="8"/>
    </row>
    <row r="972" spans="1:9" ht="15.75" customHeight="1" x14ac:dyDescent="0.15">
      <c r="A972" s="7"/>
      <c r="B972" s="7"/>
      <c r="C972" s="7"/>
      <c r="D972" s="8"/>
      <c r="E972" s="8"/>
      <c r="F972" s="8"/>
      <c r="G972" s="8"/>
      <c r="H972" s="7"/>
      <c r="I972" s="8"/>
    </row>
    <row r="973" spans="1:9" ht="15.75" customHeight="1" x14ac:dyDescent="0.15">
      <c r="A973" s="7"/>
      <c r="B973" s="7"/>
      <c r="C973" s="7"/>
      <c r="D973" s="8"/>
      <c r="E973" s="8"/>
      <c r="F973" s="8"/>
      <c r="G973" s="8"/>
      <c r="H973" s="7"/>
      <c r="I973" s="8"/>
    </row>
    <row r="974" spans="1:9" ht="15.75" customHeight="1" x14ac:dyDescent="0.15">
      <c r="A974" s="7"/>
      <c r="B974" s="7"/>
      <c r="C974" s="7"/>
      <c r="D974" s="8"/>
      <c r="E974" s="8"/>
      <c r="F974" s="8"/>
      <c r="G974" s="8"/>
      <c r="H974" s="7"/>
      <c r="I974" s="8"/>
    </row>
    <row r="975" spans="1:9" ht="15.75" customHeight="1" x14ac:dyDescent="0.15">
      <c r="A975" s="7"/>
      <c r="B975" s="7"/>
      <c r="C975" s="7"/>
      <c r="D975" s="8"/>
      <c r="E975" s="8"/>
      <c r="F975" s="8"/>
      <c r="G975" s="8"/>
      <c r="H975" s="7"/>
      <c r="I975" s="8"/>
    </row>
    <row r="976" spans="1:9" ht="15.75" customHeight="1" x14ac:dyDescent="0.15">
      <c r="A976" s="7"/>
      <c r="B976" s="7"/>
      <c r="C976" s="7"/>
      <c r="D976" s="8"/>
      <c r="E976" s="8"/>
      <c r="F976" s="8"/>
      <c r="G976" s="8"/>
      <c r="H976" s="7"/>
      <c r="I976" s="8"/>
    </row>
    <row r="977" spans="1:9" ht="15.75" customHeight="1" x14ac:dyDescent="0.15">
      <c r="A977" s="7"/>
      <c r="B977" s="7"/>
      <c r="C977" s="7"/>
      <c r="D977" s="8"/>
      <c r="E977" s="8"/>
      <c r="F977" s="8"/>
      <c r="G977" s="8"/>
      <c r="H977" s="7"/>
      <c r="I977" s="8"/>
    </row>
    <row r="978" spans="1:9" ht="15.75" customHeight="1" x14ac:dyDescent="0.15">
      <c r="A978" s="7"/>
      <c r="B978" s="7"/>
      <c r="C978" s="7"/>
      <c r="D978" s="8"/>
      <c r="E978" s="8"/>
      <c r="F978" s="8"/>
      <c r="G978" s="8"/>
      <c r="H978" s="7"/>
      <c r="I978" s="8"/>
    </row>
    <row r="979" spans="1:9" ht="15.75" customHeight="1" x14ac:dyDescent="0.15">
      <c r="A979" s="7"/>
      <c r="B979" s="7"/>
      <c r="C979" s="7"/>
      <c r="D979" s="8"/>
      <c r="E979" s="8"/>
      <c r="F979" s="8"/>
      <c r="G979" s="8"/>
      <c r="H979" s="7"/>
      <c r="I979" s="8"/>
    </row>
    <row r="980" spans="1:9" ht="15.75" customHeight="1" x14ac:dyDescent="0.15">
      <c r="A980" s="7"/>
      <c r="B980" s="7"/>
      <c r="C980" s="7"/>
      <c r="D980" s="8"/>
      <c r="E980" s="8"/>
      <c r="F980" s="8"/>
      <c r="G980" s="8"/>
      <c r="H980" s="7"/>
      <c r="I980" s="8"/>
    </row>
    <row r="981" spans="1:9" ht="15.75" customHeight="1" x14ac:dyDescent="0.15">
      <c r="A981" s="7"/>
      <c r="B981" s="7"/>
      <c r="C981" s="7"/>
      <c r="D981" s="8"/>
      <c r="E981" s="8"/>
      <c r="F981" s="8"/>
      <c r="G981" s="8"/>
      <c r="H981" s="7"/>
      <c r="I981" s="8"/>
    </row>
    <row r="982" spans="1:9" ht="15.75" customHeight="1" x14ac:dyDescent="0.15">
      <c r="A982" s="7"/>
      <c r="B982" s="7"/>
      <c r="C982" s="7"/>
      <c r="D982" s="8"/>
      <c r="E982" s="8"/>
      <c r="F982" s="8"/>
      <c r="G982" s="8"/>
      <c r="H982" s="7"/>
      <c r="I982" s="8"/>
    </row>
    <row r="983" spans="1:9" ht="15.75" customHeight="1" x14ac:dyDescent="0.15">
      <c r="A983" s="7"/>
      <c r="B983" s="7"/>
      <c r="C983" s="7"/>
      <c r="D983" s="8"/>
      <c r="E983" s="8"/>
      <c r="F983" s="8"/>
      <c r="G983" s="8"/>
      <c r="H983" s="7"/>
      <c r="I983" s="8"/>
    </row>
    <row r="984" spans="1:9" ht="15.75" customHeight="1" x14ac:dyDescent="0.15">
      <c r="A984" s="7"/>
      <c r="B984" s="7"/>
      <c r="C984" s="7"/>
      <c r="D984" s="8"/>
      <c r="E984" s="8"/>
      <c r="F984" s="8"/>
      <c r="G984" s="8"/>
      <c r="H984" s="7"/>
      <c r="I984" s="8"/>
    </row>
    <row r="985" spans="1:9" ht="15.75" customHeight="1" x14ac:dyDescent="0.15">
      <c r="A985" s="7"/>
      <c r="B985" s="7"/>
      <c r="C985" s="7"/>
      <c r="D985" s="8"/>
      <c r="E985" s="8"/>
      <c r="F985" s="8"/>
      <c r="G985" s="8"/>
      <c r="H985" s="7"/>
      <c r="I985" s="8"/>
    </row>
    <row r="986" spans="1:9" ht="15.75" customHeight="1" x14ac:dyDescent="0.15">
      <c r="A986" s="7"/>
      <c r="B986" s="7"/>
      <c r="C986" s="7"/>
      <c r="D986" s="8"/>
      <c r="E986" s="8"/>
      <c r="F986" s="8"/>
      <c r="G986" s="8"/>
      <c r="H986" s="7"/>
      <c r="I986" s="8"/>
    </row>
    <row r="987" spans="1:9" ht="15.75" customHeight="1" x14ac:dyDescent="0.15">
      <c r="A987" s="7"/>
      <c r="B987" s="7"/>
      <c r="C987" s="7"/>
      <c r="D987" s="8"/>
      <c r="E987" s="8"/>
      <c r="F987" s="8"/>
      <c r="G987" s="8"/>
      <c r="H987" s="7"/>
      <c r="I987" s="8"/>
    </row>
  </sheetData>
  <mergeCells count="37">
    <mergeCell ref="M74:M77"/>
    <mergeCell ref="N74:N77"/>
    <mergeCell ref="M58:M61"/>
    <mergeCell ref="N58:N61"/>
    <mergeCell ref="M62:M65"/>
    <mergeCell ref="N62:N65"/>
    <mergeCell ref="M66:M67"/>
    <mergeCell ref="N66:N67"/>
    <mergeCell ref="M68:M69"/>
    <mergeCell ref="N68:N69"/>
    <mergeCell ref="M56:M57"/>
    <mergeCell ref="N56:N57"/>
    <mergeCell ref="M70:M73"/>
    <mergeCell ref="N70:N73"/>
    <mergeCell ref="M18:T18"/>
    <mergeCell ref="M38:M39"/>
    <mergeCell ref="M40:M41"/>
    <mergeCell ref="M44:M47"/>
    <mergeCell ref="N44:N47"/>
    <mergeCell ref="M42:M43"/>
    <mergeCell ref="N42:N43"/>
    <mergeCell ref="M78:M82"/>
    <mergeCell ref="N78:N82"/>
    <mergeCell ref="L19:L23"/>
    <mergeCell ref="M27:T28"/>
    <mergeCell ref="M29:T30"/>
    <mergeCell ref="L24:L26"/>
    <mergeCell ref="M36:M37"/>
    <mergeCell ref="N36:N37"/>
    <mergeCell ref="M54:M55"/>
    <mergeCell ref="N54:N55"/>
    <mergeCell ref="N38:N39"/>
    <mergeCell ref="N40:N41"/>
    <mergeCell ref="M48:M51"/>
    <mergeCell ref="N48:N51"/>
    <mergeCell ref="M52:M53"/>
    <mergeCell ref="N52:N53"/>
  </mergeCells>
  <phoneticPr fontId="5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869"/>
  <sheetViews>
    <sheetView zoomScaleNormal="100" workbookViewId="0">
      <selection activeCell="M8" sqref="M8"/>
    </sheetView>
  </sheetViews>
  <sheetFormatPr defaultColWidth="12.54296875" defaultRowHeight="15.75" customHeight="1" x14ac:dyDescent="0.15"/>
  <cols>
    <col min="1" max="3" width="12.54296875" style="9"/>
    <col min="4" max="4" width="11" style="9" customWidth="1"/>
    <col min="5" max="5" width="26" style="9" customWidth="1"/>
    <col min="6" max="6" width="42.81640625" style="9" customWidth="1"/>
    <col min="7" max="7" width="13.54296875" style="9" customWidth="1"/>
    <col min="8" max="8" width="12.54296875" style="12"/>
    <col min="9" max="16384" width="12.54296875" style="9"/>
  </cols>
  <sheetData>
    <row r="1" spans="1:30" ht="11.5" x14ac:dyDescent="0.15">
      <c r="A1" s="6" t="s">
        <v>146</v>
      </c>
      <c r="B1" s="7"/>
      <c r="C1" s="6" t="s">
        <v>145</v>
      </c>
      <c r="D1" s="8"/>
      <c r="E1" s="8"/>
      <c r="F1" s="8"/>
      <c r="G1" s="8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11.5" x14ac:dyDescent="0.15">
      <c r="A2" s="7"/>
      <c r="B2" s="7"/>
      <c r="C2" s="7"/>
      <c r="D2" s="8"/>
      <c r="E2" s="8"/>
      <c r="F2" s="8"/>
      <c r="G2" s="8"/>
      <c r="H2" s="6" t="s">
        <v>144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11.5" x14ac:dyDescent="0.15">
      <c r="A3" s="6" t="s">
        <v>143</v>
      </c>
      <c r="B3" s="7"/>
      <c r="C3" s="7"/>
      <c r="D3" s="8"/>
      <c r="E3" s="8"/>
      <c r="F3" s="8"/>
      <c r="G3" s="8"/>
      <c r="H3" s="6" t="s"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1.5" x14ac:dyDescent="0.15">
      <c r="A4" s="6" t="s">
        <v>1</v>
      </c>
      <c r="B4" s="6" t="s">
        <v>2</v>
      </c>
      <c r="C4" s="6" t="s">
        <v>3</v>
      </c>
      <c r="D4" s="8" t="s">
        <v>4</v>
      </c>
      <c r="E4" s="8" t="s">
        <v>5</v>
      </c>
      <c r="F4" s="8" t="s">
        <v>6</v>
      </c>
      <c r="G4" s="8" t="s">
        <v>141</v>
      </c>
      <c r="H4" s="6" t="s">
        <v>7</v>
      </c>
      <c r="I4" s="8" t="s">
        <v>8</v>
      </c>
      <c r="J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1.5" x14ac:dyDescent="0.15">
      <c r="A5" s="7">
        <v>0</v>
      </c>
      <c r="B5" s="7">
        <f t="shared" ref="B5:B163" si="0">DEC2BIN(A5/512)*1000000000+DEC2BIN(MOD(A5,512))</f>
        <v>0</v>
      </c>
      <c r="C5" s="7" t="str">
        <f t="shared" ref="C5:C163" si="1">DEC2HEX(A5)</f>
        <v>0</v>
      </c>
      <c r="D5" s="8" t="str">
        <f t="shared" ref="D5:D163" si="2">IF(A5=0,"-", IF(A5&lt;1024,"文字列",IF(A5&lt;1280,"uint32_t",IF(A5&lt;1536,"uint16_t",IF(A5&lt;1792,"float","fp16")))))</f>
        <v>-</v>
      </c>
      <c r="E5" s="8"/>
      <c r="F5" s="8" t="s">
        <v>17</v>
      </c>
      <c r="G5" s="8"/>
      <c r="H5" s="7"/>
      <c r="I5" s="8"/>
      <c r="J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1.5" x14ac:dyDescent="0.15">
      <c r="A6" s="7">
        <v>1</v>
      </c>
      <c r="B6" s="7">
        <f t="shared" si="0"/>
        <v>1</v>
      </c>
      <c r="C6" s="7" t="str">
        <f t="shared" si="1"/>
        <v>1</v>
      </c>
      <c r="D6" s="8" t="str">
        <f t="shared" si="2"/>
        <v>文字列</v>
      </c>
      <c r="E6" s="8"/>
      <c r="F6" s="8"/>
      <c r="G6" s="8"/>
      <c r="H6" s="7"/>
      <c r="I6" s="8"/>
      <c r="J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1.5" x14ac:dyDescent="0.15">
      <c r="A7" s="7">
        <v>2</v>
      </c>
      <c r="B7" s="7">
        <f t="shared" si="0"/>
        <v>10</v>
      </c>
      <c r="C7" s="7" t="str">
        <f t="shared" si="1"/>
        <v>2</v>
      </c>
      <c r="D7" s="8" t="str">
        <f t="shared" si="2"/>
        <v>文字列</v>
      </c>
      <c r="E7" s="8"/>
      <c r="F7" s="8"/>
      <c r="G7" s="8"/>
      <c r="H7" s="7"/>
      <c r="I7" s="8"/>
      <c r="J7" s="8"/>
      <c r="K7" s="8" t="s">
        <v>9</v>
      </c>
      <c r="L7" s="8" t="s">
        <v>10</v>
      </c>
      <c r="M7" s="8" t="s">
        <v>11</v>
      </c>
      <c r="N7" s="8" t="s">
        <v>12</v>
      </c>
      <c r="O7" s="8" t="s">
        <v>13</v>
      </c>
      <c r="P7" s="8" t="s">
        <v>14</v>
      </c>
      <c r="Q7" s="8" t="s">
        <v>15</v>
      </c>
      <c r="R7" s="8" t="s">
        <v>142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1.5" x14ac:dyDescent="0.15">
      <c r="A8" s="7">
        <v>3</v>
      </c>
      <c r="B8" s="7">
        <f t="shared" si="0"/>
        <v>11</v>
      </c>
      <c r="C8" s="7" t="str">
        <f t="shared" si="1"/>
        <v>3</v>
      </c>
      <c r="D8" s="8" t="str">
        <f t="shared" si="2"/>
        <v>文字列</v>
      </c>
      <c r="E8" s="8"/>
      <c r="F8" s="8"/>
      <c r="G8" s="8"/>
      <c r="H8" s="7"/>
      <c r="I8" s="8"/>
      <c r="J8" s="8"/>
      <c r="K8" s="8" t="s">
        <v>16</v>
      </c>
      <c r="L8" s="8">
        <f t="shared" ref="L8:Q8" si="3">SUMIF($I:$I,L7,$H:$H)</f>
        <v>470</v>
      </c>
      <c r="M8" s="8">
        <f t="shared" si="3"/>
        <v>0</v>
      </c>
      <c r="N8" s="8">
        <f t="shared" si="3"/>
        <v>0</v>
      </c>
      <c r="O8" s="8">
        <f t="shared" si="3"/>
        <v>110</v>
      </c>
      <c r="P8" s="8">
        <f t="shared" si="3"/>
        <v>1</v>
      </c>
      <c r="Q8" s="8">
        <f t="shared" si="3"/>
        <v>30</v>
      </c>
      <c r="R8" s="8">
        <f>SUM(L8:Q8)</f>
        <v>611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1.5" x14ac:dyDescent="0.15">
      <c r="A9" s="7">
        <v>4</v>
      </c>
      <c r="B9" s="7">
        <f t="shared" si="0"/>
        <v>100</v>
      </c>
      <c r="C9" s="7" t="str">
        <f t="shared" si="1"/>
        <v>4</v>
      </c>
      <c r="D9" s="8" t="str">
        <f t="shared" si="2"/>
        <v>文字列</v>
      </c>
      <c r="E9" s="8"/>
      <c r="F9" s="8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1.5" x14ac:dyDescent="0.15">
      <c r="A10" s="7">
        <v>5</v>
      </c>
      <c r="B10" s="7">
        <f t="shared" si="0"/>
        <v>101</v>
      </c>
      <c r="C10" s="7" t="str">
        <f t="shared" si="1"/>
        <v>5</v>
      </c>
      <c r="D10" s="8" t="str">
        <f t="shared" si="2"/>
        <v>文字列</v>
      </c>
      <c r="E10" s="8"/>
      <c r="F10" s="8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11.5" x14ac:dyDescent="0.15">
      <c r="A11" s="7">
        <v>6</v>
      </c>
      <c r="B11" s="7">
        <f t="shared" si="0"/>
        <v>110</v>
      </c>
      <c r="C11" s="7" t="str">
        <f t="shared" si="1"/>
        <v>6</v>
      </c>
      <c r="D11" s="8" t="str">
        <f t="shared" si="2"/>
        <v>文字列</v>
      </c>
      <c r="E11" s="8"/>
      <c r="F11" s="8"/>
      <c r="G11" s="8"/>
      <c r="H11" s="7"/>
      <c r="I11" s="8"/>
      <c r="J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11.5" x14ac:dyDescent="0.15">
      <c r="A12" s="7">
        <v>7</v>
      </c>
      <c r="B12" s="7">
        <f t="shared" si="0"/>
        <v>111</v>
      </c>
      <c r="C12" s="7" t="str">
        <f t="shared" si="1"/>
        <v>7</v>
      </c>
      <c r="D12" s="8" t="str">
        <f t="shared" si="2"/>
        <v>文字列</v>
      </c>
      <c r="E12" s="8"/>
      <c r="F12" s="8"/>
      <c r="G12" s="8"/>
      <c r="H12" s="7"/>
      <c r="I12" s="8"/>
      <c r="J12" s="8"/>
      <c r="K12" s="8" t="s">
        <v>18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1.5" x14ac:dyDescent="0.15">
      <c r="A13" s="7">
        <v>8</v>
      </c>
      <c r="B13" s="7">
        <f t="shared" si="0"/>
        <v>1000</v>
      </c>
      <c r="C13" s="7" t="str">
        <f t="shared" si="1"/>
        <v>8</v>
      </c>
      <c r="D13" s="8" t="str">
        <f t="shared" si="2"/>
        <v>文字列</v>
      </c>
      <c r="E13" s="8" t="s">
        <v>24</v>
      </c>
      <c r="F13" s="8" t="s">
        <v>25</v>
      </c>
      <c r="G13" s="8"/>
      <c r="H13" s="7" t="s">
        <v>26</v>
      </c>
      <c r="I13" s="8" t="s">
        <v>15</v>
      </c>
      <c r="J13" s="8"/>
      <c r="K13" s="8">
        <v>1</v>
      </c>
      <c r="L13" s="8" t="s">
        <v>19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1.5" x14ac:dyDescent="0.15">
      <c r="A14" s="7">
        <v>9</v>
      </c>
      <c r="B14" s="7">
        <f t="shared" si="0"/>
        <v>1001</v>
      </c>
      <c r="C14" s="7" t="str">
        <f t="shared" si="1"/>
        <v>9</v>
      </c>
      <c r="D14" s="8" t="str">
        <f t="shared" si="2"/>
        <v>文字列</v>
      </c>
      <c r="E14" s="8" t="s">
        <v>28</v>
      </c>
      <c r="F14" s="8" t="s">
        <v>29</v>
      </c>
      <c r="G14" s="8"/>
      <c r="H14" s="7" t="s">
        <v>26</v>
      </c>
      <c r="I14" s="8" t="s">
        <v>15</v>
      </c>
      <c r="J14" s="8"/>
      <c r="K14" s="8">
        <v>2</v>
      </c>
      <c r="L14" s="8" t="s">
        <v>20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1.5" x14ac:dyDescent="0.15">
      <c r="A15" s="7">
        <v>10</v>
      </c>
      <c r="B15" s="7">
        <f t="shared" si="0"/>
        <v>1010</v>
      </c>
      <c r="C15" s="7" t="str">
        <f t="shared" si="1"/>
        <v>A</v>
      </c>
      <c r="D15" s="8" t="str">
        <f t="shared" si="2"/>
        <v>文字列</v>
      </c>
      <c r="E15" s="8" t="s">
        <v>31</v>
      </c>
      <c r="F15" s="8" t="s">
        <v>32</v>
      </c>
      <c r="G15" s="8"/>
      <c r="H15" s="7">
        <v>10</v>
      </c>
      <c r="I15" s="8" t="s">
        <v>15</v>
      </c>
      <c r="J15" s="8"/>
      <c r="K15" s="8">
        <v>3</v>
      </c>
      <c r="L15" s="8" t="s">
        <v>21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11.5" x14ac:dyDescent="0.15">
      <c r="A16" s="7">
        <v>11</v>
      </c>
      <c r="B16" s="7">
        <f t="shared" si="0"/>
        <v>1011</v>
      </c>
      <c r="C16" s="7" t="str">
        <f t="shared" si="1"/>
        <v>B</v>
      </c>
      <c r="D16" s="8" t="str">
        <f t="shared" si="2"/>
        <v>文字列</v>
      </c>
      <c r="E16" s="8" t="s">
        <v>34</v>
      </c>
      <c r="F16" s="8" t="s">
        <v>35</v>
      </c>
      <c r="G16" s="8"/>
      <c r="H16" s="7">
        <v>10</v>
      </c>
      <c r="I16" s="8" t="s">
        <v>15</v>
      </c>
      <c r="J16" s="8"/>
      <c r="K16" s="8">
        <v>4</v>
      </c>
      <c r="L16" s="8" t="s">
        <v>22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1.5" x14ac:dyDescent="0.15">
      <c r="A17" s="7">
        <v>12</v>
      </c>
      <c r="B17" s="7">
        <f t="shared" si="0"/>
        <v>1100</v>
      </c>
      <c r="C17" s="7" t="str">
        <f t="shared" si="1"/>
        <v>C</v>
      </c>
      <c r="D17" s="8" t="str">
        <f t="shared" si="2"/>
        <v>文字列</v>
      </c>
      <c r="E17" s="8" t="s">
        <v>37</v>
      </c>
      <c r="F17" s="8" t="s">
        <v>38</v>
      </c>
      <c r="G17" s="8"/>
      <c r="H17" s="7" t="s">
        <v>26</v>
      </c>
      <c r="I17" s="8" t="s">
        <v>15</v>
      </c>
      <c r="J17" s="8"/>
      <c r="K17" s="8">
        <v>5</v>
      </c>
      <c r="L17" s="8" t="s">
        <v>23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11.5" x14ac:dyDescent="0.15">
      <c r="A18" s="7">
        <v>13</v>
      </c>
      <c r="B18" s="7">
        <f t="shared" si="0"/>
        <v>1101</v>
      </c>
      <c r="C18" s="7" t="str">
        <f t="shared" si="1"/>
        <v>D</v>
      </c>
      <c r="D18" s="8" t="str">
        <f t="shared" si="2"/>
        <v>文字列</v>
      </c>
      <c r="E18" s="8" t="s">
        <v>39</v>
      </c>
      <c r="F18" s="8" t="s">
        <v>40</v>
      </c>
      <c r="G18" s="8"/>
      <c r="H18" s="7" t="s">
        <v>26</v>
      </c>
      <c r="I18" s="8" t="s">
        <v>15</v>
      </c>
      <c r="J18" s="8"/>
      <c r="K18" s="8">
        <v>6</v>
      </c>
      <c r="L18" s="8" t="s">
        <v>27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1.5" x14ac:dyDescent="0.15">
      <c r="A19" s="7">
        <v>14</v>
      </c>
      <c r="B19" s="7">
        <f t="shared" si="0"/>
        <v>1110</v>
      </c>
      <c r="C19" s="7" t="str">
        <f t="shared" si="1"/>
        <v>E</v>
      </c>
      <c r="D19" s="8" t="str">
        <f t="shared" si="2"/>
        <v>文字列</v>
      </c>
      <c r="E19" s="8" t="s">
        <v>42</v>
      </c>
      <c r="F19" s="8" t="s">
        <v>43</v>
      </c>
      <c r="G19" s="8"/>
      <c r="H19" s="7">
        <v>10</v>
      </c>
      <c r="I19" s="8" t="s">
        <v>15</v>
      </c>
      <c r="J19" s="8"/>
      <c r="K19" s="8">
        <v>7</v>
      </c>
      <c r="L19" s="8" t="s">
        <v>30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11.5" x14ac:dyDescent="0.15">
      <c r="A20" s="7">
        <v>15</v>
      </c>
      <c r="B20" s="7">
        <f t="shared" si="0"/>
        <v>1111</v>
      </c>
      <c r="C20" s="7" t="str">
        <f t="shared" si="1"/>
        <v>F</v>
      </c>
      <c r="D20" s="8" t="str">
        <f t="shared" si="2"/>
        <v>文字列</v>
      </c>
      <c r="E20" s="8"/>
      <c r="F20" s="8"/>
      <c r="G20" s="8"/>
      <c r="H20" s="7"/>
      <c r="I20" s="8"/>
      <c r="J20" s="8"/>
      <c r="K20" s="8">
        <v>8</v>
      </c>
      <c r="L20" s="8" t="s">
        <v>33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11.5" x14ac:dyDescent="0.15">
      <c r="A21" s="7">
        <v>16</v>
      </c>
      <c r="B21" s="7">
        <f t="shared" si="0"/>
        <v>10000</v>
      </c>
      <c r="C21" s="7" t="str">
        <f t="shared" si="1"/>
        <v>10</v>
      </c>
      <c r="D21" s="8" t="str">
        <f t="shared" si="2"/>
        <v>文字列</v>
      </c>
      <c r="E21" s="8"/>
      <c r="F21" s="8"/>
      <c r="G21" s="8"/>
      <c r="H21" s="7"/>
      <c r="I21" s="8"/>
      <c r="J21" s="8"/>
      <c r="K21" s="8">
        <v>9</v>
      </c>
      <c r="L21" s="8" t="s">
        <v>36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11.5" x14ac:dyDescent="0.15">
      <c r="A22" s="7">
        <v>17</v>
      </c>
      <c r="B22" s="7">
        <f t="shared" si="0"/>
        <v>10001</v>
      </c>
      <c r="C22" s="7" t="str">
        <f t="shared" si="1"/>
        <v>11</v>
      </c>
      <c r="D22" s="8" t="str">
        <f t="shared" si="2"/>
        <v>文字列</v>
      </c>
      <c r="E22" s="8"/>
      <c r="F22" s="8"/>
      <c r="G22" s="8"/>
      <c r="H22" s="7"/>
      <c r="I22" s="8"/>
      <c r="J22" s="8"/>
      <c r="K22" s="8">
        <v>10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13" x14ac:dyDescent="0.2">
      <c r="A23" s="7">
        <v>18</v>
      </c>
      <c r="B23" s="7">
        <f t="shared" si="0"/>
        <v>10010</v>
      </c>
      <c r="C23" s="7" t="str">
        <f t="shared" si="1"/>
        <v>12</v>
      </c>
      <c r="D23" s="8" t="str">
        <f t="shared" si="2"/>
        <v>文字列</v>
      </c>
      <c r="E23" s="8"/>
      <c r="F23" s="8"/>
      <c r="G23" s="8"/>
      <c r="H23" s="7"/>
      <c r="I23" s="8"/>
      <c r="J23" s="8"/>
      <c r="K23" s="8" t="s">
        <v>26</v>
      </c>
      <c r="L23" s="10" t="s">
        <v>41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11.5" x14ac:dyDescent="0.15">
      <c r="A24" s="7">
        <v>19</v>
      </c>
      <c r="B24" s="7">
        <f t="shared" si="0"/>
        <v>10011</v>
      </c>
      <c r="C24" s="7" t="str">
        <f t="shared" si="1"/>
        <v>13</v>
      </c>
      <c r="D24" s="8" t="str">
        <f t="shared" si="2"/>
        <v>文字列</v>
      </c>
      <c r="E24" s="8"/>
      <c r="F24" s="8"/>
      <c r="G24" s="8"/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11.5" x14ac:dyDescent="0.15">
      <c r="A25" s="7">
        <v>20</v>
      </c>
      <c r="B25" s="7">
        <f t="shared" si="0"/>
        <v>10100</v>
      </c>
      <c r="C25" s="7" t="str">
        <f t="shared" si="1"/>
        <v>14</v>
      </c>
      <c r="D25" s="8" t="str">
        <f t="shared" si="2"/>
        <v>文字列</v>
      </c>
      <c r="E25" s="8"/>
      <c r="F25" s="8"/>
      <c r="G25" s="8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1.5" x14ac:dyDescent="0.15">
      <c r="A26" s="7">
        <v>21</v>
      </c>
      <c r="B26" s="7">
        <f t="shared" si="0"/>
        <v>10101</v>
      </c>
      <c r="C26" s="7" t="str">
        <f t="shared" si="1"/>
        <v>15</v>
      </c>
      <c r="D26" s="8" t="str">
        <f t="shared" si="2"/>
        <v>文字列</v>
      </c>
      <c r="E26" s="8"/>
      <c r="F26" s="8"/>
      <c r="G26" s="8"/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1.5" x14ac:dyDescent="0.15">
      <c r="A27" s="7">
        <v>22</v>
      </c>
      <c r="B27" s="7">
        <f t="shared" si="0"/>
        <v>10110</v>
      </c>
      <c r="C27" s="7" t="str">
        <f t="shared" si="1"/>
        <v>16</v>
      </c>
      <c r="D27" s="8" t="str">
        <f t="shared" si="2"/>
        <v>文字列</v>
      </c>
      <c r="E27" s="8"/>
      <c r="F27" s="8"/>
      <c r="G27" s="8"/>
      <c r="H27" s="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1.5" x14ac:dyDescent="0.15">
      <c r="A28" s="7">
        <v>23</v>
      </c>
      <c r="B28" s="7">
        <f t="shared" si="0"/>
        <v>10111</v>
      </c>
      <c r="C28" s="7" t="str">
        <f t="shared" si="1"/>
        <v>17</v>
      </c>
      <c r="D28" s="8" t="str">
        <f t="shared" si="2"/>
        <v>文字列</v>
      </c>
      <c r="E28" s="8"/>
      <c r="F28" s="8"/>
      <c r="G28" s="8"/>
      <c r="H28" s="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1.5" x14ac:dyDescent="0.15">
      <c r="A29" s="7">
        <v>24</v>
      </c>
      <c r="B29" s="7">
        <f t="shared" si="0"/>
        <v>11000</v>
      </c>
      <c r="C29" s="7" t="str">
        <f t="shared" si="1"/>
        <v>18</v>
      </c>
      <c r="D29" s="8" t="str">
        <f t="shared" si="2"/>
        <v>文字列</v>
      </c>
      <c r="E29" s="8" t="s">
        <v>44</v>
      </c>
      <c r="F29" s="8" t="s">
        <v>45</v>
      </c>
      <c r="G29" s="8"/>
      <c r="H29" s="7" t="s">
        <v>26</v>
      </c>
      <c r="I29" s="8" t="s">
        <v>10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 x14ac:dyDescent="0.15">
      <c r="A30" s="7">
        <v>25</v>
      </c>
      <c r="B30" s="7">
        <f t="shared" si="0"/>
        <v>11001</v>
      </c>
      <c r="C30" s="7" t="str">
        <f t="shared" si="1"/>
        <v>19</v>
      </c>
      <c r="D30" s="8" t="str">
        <f t="shared" si="2"/>
        <v>文字列</v>
      </c>
      <c r="E30" s="11" t="s">
        <v>46</v>
      </c>
      <c r="F30" s="8" t="s">
        <v>47</v>
      </c>
      <c r="G30" s="8"/>
      <c r="H30" s="7" t="s">
        <v>26</v>
      </c>
      <c r="I30" s="8" t="s">
        <v>10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1.5" x14ac:dyDescent="0.15">
      <c r="A31" s="7">
        <v>26</v>
      </c>
      <c r="B31" s="7">
        <f t="shared" si="0"/>
        <v>11010</v>
      </c>
      <c r="C31" s="7" t="str">
        <f t="shared" si="1"/>
        <v>1A</v>
      </c>
      <c r="D31" s="8" t="str">
        <f t="shared" si="2"/>
        <v>文字列</v>
      </c>
      <c r="E31" s="8" t="s">
        <v>48</v>
      </c>
      <c r="F31" s="8" t="s">
        <v>45</v>
      </c>
      <c r="G31" s="8"/>
      <c r="H31" s="7" t="s">
        <v>26</v>
      </c>
      <c r="I31" s="8" t="s">
        <v>13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 x14ac:dyDescent="0.15">
      <c r="A32" s="7">
        <v>27</v>
      </c>
      <c r="B32" s="7">
        <f t="shared" si="0"/>
        <v>11011</v>
      </c>
      <c r="C32" s="7" t="str">
        <f t="shared" si="1"/>
        <v>1B</v>
      </c>
      <c r="D32" s="8" t="str">
        <f t="shared" si="2"/>
        <v>文字列</v>
      </c>
      <c r="E32" s="11" t="s">
        <v>49</v>
      </c>
      <c r="F32" s="8" t="s">
        <v>50</v>
      </c>
      <c r="G32" s="8"/>
      <c r="H32" s="7" t="s">
        <v>26</v>
      </c>
      <c r="I32" s="8" t="s">
        <v>13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1.5" x14ac:dyDescent="0.15">
      <c r="A33" s="7">
        <v>28</v>
      </c>
      <c r="B33" s="7">
        <f t="shared" si="0"/>
        <v>11100</v>
      </c>
      <c r="C33" s="7" t="str">
        <f t="shared" si="1"/>
        <v>1C</v>
      </c>
      <c r="D33" s="8" t="str">
        <f t="shared" si="2"/>
        <v>文字列</v>
      </c>
      <c r="E33" s="8"/>
      <c r="F33" s="8"/>
      <c r="G33" s="8"/>
      <c r="H33" s="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1.5" x14ac:dyDescent="0.15">
      <c r="A34" s="7">
        <v>29</v>
      </c>
      <c r="B34" s="7">
        <f t="shared" si="0"/>
        <v>11101</v>
      </c>
      <c r="C34" s="7" t="str">
        <f t="shared" si="1"/>
        <v>1D</v>
      </c>
      <c r="D34" s="8" t="str">
        <f t="shared" si="2"/>
        <v>文字列</v>
      </c>
      <c r="E34" s="8"/>
      <c r="F34" s="8"/>
      <c r="G34" s="8"/>
      <c r="H34" s="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1.5" x14ac:dyDescent="0.15">
      <c r="A35" s="7">
        <v>30</v>
      </c>
      <c r="B35" s="7">
        <f t="shared" si="0"/>
        <v>11110</v>
      </c>
      <c r="C35" s="7" t="str">
        <f t="shared" si="1"/>
        <v>1E</v>
      </c>
      <c r="D35" s="8" t="str">
        <f t="shared" si="2"/>
        <v>文字列</v>
      </c>
      <c r="E35" s="8"/>
      <c r="F35" s="8"/>
      <c r="G35" s="8"/>
      <c r="H35" s="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1.5" x14ac:dyDescent="0.15">
      <c r="A36" s="7">
        <v>31</v>
      </c>
      <c r="B36" s="7">
        <f t="shared" si="0"/>
        <v>11111</v>
      </c>
      <c r="C36" s="7" t="str">
        <f t="shared" si="1"/>
        <v>1F</v>
      </c>
      <c r="D36" s="8" t="str">
        <f t="shared" si="2"/>
        <v>文字列</v>
      </c>
      <c r="E36" s="8"/>
      <c r="F36" s="8"/>
      <c r="G36" s="8"/>
      <c r="H36" s="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1.5" x14ac:dyDescent="0.15">
      <c r="A37" s="7">
        <v>32</v>
      </c>
      <c r="B37" s="7">
        <f t="shared" si="0"/>
        <v>100000</v>
      </c>
      <c r="C37" s="7" t="str">
        <f t="shared" si="1"/>
        <v>20</v>
      </c>
      <c r="D37" s="8" t="str">
        <f t="shared" si="2"/>
        <v>文字列</v>
      </c>
      <c r="F37" s="8"/>
      <c r="G37" s="8"/>
      <c r="H37" s="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1.5" x14ac:dyDescent="0.15">
      <c r="A38" s="7">
        <v>33</v>
      </c>
      <c r="B38" s="7">
        <f t="shared" si="0"/>
        <v>100001</v>
      </c>
      <c r="C38" s="7" t="str">
        <f t="shared" si="1"/>
        <v>21</v>
      </c>
      <c r="D38" s="8" t="str">
        <f t="shared" si="2"/>
        <v>文字列</v>
      </c>
      <c r="F38" s="8"/>
      <c r="G38" s="8"/>
      <c r="H38" s="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1.5" x14ac:dyDescent="0.15">
      <c r="A39" s="7">
        <v>34</v>
      </c>
      <c r="B39" s="7">
        <f t="shared" si="0"/>
        <v>100010</v>
      </c>
      <c r="C39" s="7" t="str">
        <f t="shared" si="1"/>
        <v>22</v>
      </c>
      <c r="D39" s="8" t="str">
        <f t="shared" si="2"/>
        <v>文字列</v>
      </c>
      <c r="E39" s="8"/>
      <c r="F39" s="8"/>
      <c r="G39" s="8"/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1.5" x14ac:dyDescent="0.15">
      <c r="A40" s="7">
        <v>35</v>
      </c>
      <c r="B40" s="7">
        <f t="shared" si="0"/>
        <v>100011</v>
      </c>
      <c r="C40" s="7" t="str">
        <f t="shared" si="1"/>
        <v>23</v>
      </c>
      <c r="D40" s="8" t="str">
        <f t="shared" si="2"/>
        <v>文字列</v>
      </c>
      <c r="E40" s="8"/>
      <c r="F40" s="8"/>
      <c r="G40" s="8"/>
      <c r="H40" s="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1.5" x14ac:dyDescent="0.15">
      <c r="A41" s="7">
        <v>36</v>
      </c>
      <c r="B41" s="7">
        <f t="shared" si="0"/>
        <v>100100</v>
      </c>
      <c r="C41" s="7" t="str">
        <f t="shared" si="1"/>
        <v>24</v>
      </c>
      <c r="D41" s="8" t="str">
        <f t="shared" si="2"/>
        <v>文字列</v>
      </c>
      <c r="E41" s="8" t="s">
        <v>51</v>
      </c>
      <c r="F41" s="8" t="s">
        <v>52</v>
      </c>
      <c r="G41" s="8"/>
      <c r="H41" s="7" t="s">
        <v>26</v>
      </c>
      <c r="I41" s="8" t="s">
        <v>14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1.5" x14ac:dyDescent="0.15">
      <c r="A42" s="7">
        <v>37</v>
      </c>
      <c r="B42" s="7">
        <f t="shared" si="0"/>
        <v>100101</v>
      </c>
      <c r="C42" s="7" t="str">
        <f t="shared" si="1"/>
        <v>25</v>
      </c>
      <c r="D42" s="8" t="str">
        <f t="shared" si="2"/>
        <v>文字列</v>
      </c>
      <c r="E42" s="8" t="s">
        <v>53</v>
      </c>
      <c r="F42" s="8" t="s">
        <v>54</v>
      </c>
      <c r="G42" s="8"/>
      <c r="H42" s="7" t="s">
        <v>26</v>
      </c>
      <c r="I42" s="8" t="s">
        <v>14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1.5" x14ac:dyDescent="0.15">
      <c r="A43" s="7">
        <v>38</v>
      </c>
      <c r="B43" s="7">
        <f t="shared" si="0"/>
        <v>100110</v>
      </c>
      <c r="C43" s="7" t="str">
        <f t="shared" si="1"/>
        <v>26</v>
      </c>
      <c r="D43" s="8" t="str">
        <f t="shared" si="2"/>
        <v>文字列</v>
      </c>
      <c r="E43" s="8"/>
      <c r="F43" s="8"/>
      <c r="G43" s="8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1.5" x14ac:dyDescent="0.15">
      <c r="A44" s="7">
        <v>39</v>
      </c>
      <c r="B44" s="7">
        <f t="shared" si="0"/>
        <v>100111</v>
      </c>
      <c r="C44" s="7" t="str">
        <f t="shared" si="1"/>
        <v>27</v>
      </c>
      <c r="D44" s="8" t="str">
        <f t="shared" si="2"/>
        <v>文字列</v>
      </c>
      <c r="E44" s="8"/>
      <c r="F44" s="8"/>
      <c r="G44" s="8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1.5" x14ac:dyDescent="0.15">
      <c r="A45" s="7">
        <v>40</v>
      </c>
      <c r="B45" s="7">
        <f t="shared" si="0"/>
        <v>101000</v>
      </c>
      <c r="C45" s="7" t="str">
        <f t="shared" si="1"/>
        <v>28</v>
      </c>
      <c r="D45" s="8" t="str">
        <f t="shared" si="2"/>
        <v>文字列</v>
      </c>
      <c r="E45" s="8" t="s">
        <v>55</v>
      </c>
      <c r="F45" s="8" t="s">
        <v>56</v>
      </c>
      <c r="G45" s="8"/>
      <c r="H45" s="7" t="s">
        <v>26</v>
      </c>
      <c r="I45" s="8" t="s">
        <v>11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1.5" x14ac:dyDescent="0.15">
      <c r="A46" s="7">
        <v>41</v>
      </c>
      <c r="B46" s="7">
        <f t="shared" si="0"/>
        <v>101001</v>
      </c>
      <c r="C46" s="7" t="str">
        <f t="shared" si="1"/>
        <v>29</v>
      </c>
      <c r="D46" s="8" t="str">
        <f t="shared" si="2"/>
        <v>文字列</v>
      </c>
      <c r="E46" s="8" t="s">
        <v>57</v>
      </c>
      <c r="F46" s="8" t="s">
        <v>58</v>
      </c>
      <c r="G46" s="8"/>
      <c r="H46" s="7" t="s">
        <v>26</v>
      </c>
      <c r="I46" s="8" t="s">
        <v>11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1.5" x14ac:dyDescent="0.15">
      <c r="A47" s="7">
        <v>42</v>
      </c>
      <c r="B47" s="7">
        <f t="shared" si="0"/>
        <v>101010</v>
      </c>
      <c r="C47" s="7" t="str">
        <f t="shared" si="1"/>
        <v>2A</v>
      </c>
      <c r="D47" s="8" t="str">
        <f t="shared" si="2"/>
        <v>文字列</v>
      </c>
      <c r="E47" s="8" t="s">
        <v>59</v>
      </c>
      <c r="F47" s="8" t="s">
        <v>56</v>
      </c>
      <c r="G47" s="8"/>
      <c r="H47" s="7" t="s">
        <v>26</v>
      </c>
      <c r="I47" s="8" t="s">
        <v>13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1.5" x14ac:dyDescent="0.15">
      <c r="A48" s="7">
        <v>43</v>
      </c>
      <c r="B48" s="7">
        <f t="shared" si="0"/>
        <v>101011</v>
      </c>
      <c r="C48" s="7" t="str">
        <f t="shared" si="1"/>
        <v>2B</v>
      </c>
      <c r="D48" s="8" t="str">
        <f t="shared" si="2"/>
        <v>文字列</v>
      </c>
      <c r="E48" s="8" t="s">
        <v>60</v>
      </c>
      <c r="F48" s="8" t="s">
        <v>58</v>
      </c>
      <c r="G48" s="8"/>
      <c r="H48" s="7" t="s">
        <v>26</v>
      </c>
      <c r="I48" s="8" t="s">
        <v>13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1.5" x14ac:dyDescent="0.15">
      <c r="A49" s="7">
        <v>44</v>
      </c>
      <c r="B49" s="7">
        <f t="shared" si="0"/>
        <v>101100</v>
      </c>
      <c r="C49" s="7" t="str">
        <f t="shared" si="1"/>
        <v>2C</v>
      </c>
      <c r="D49" s="8" t="str">
        <f t="shared" si="2"/>
        <v>文字列</v>
      </c>
      <c r="E49" s="8" t="s">
        <v>61</v>
      </c>
      <c r="F49" s="8"/>
      <c r="G49" s="8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1.5" x14ac:dyDescent="0.15">
      <c r="A50" s="7">
        <v>45</v>
      </c>
      <c r="B50" s="7">
        <f t="shared" si="0"/>
        <v>101101</v>
      </c>
      <c r="C50" s="7" t="str">
        <f t="shared" si="1"/>
        <v>2D</v>
      </c>
      <c r="D50" s="8" t="str">
        <f t="shared" si="2"/>
        <v>文字列</v>
      </c>
      <c r="E50" s="8" t="s">
        <v>62</v>
      </c>
      <c r="F50" s="8"/>
      <c r="G50" s="8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1.5" x14ac:dyDescent="0.15">
      <c r="A51" s="7">
        <v>46</v>
      </c>
      <c r="B51" s="7">
        <f t="shared" si="0"/>
        <v>101110</v>
      </c>
      <c r="C51" s="7" t="str">
        <f t="shared" si="1"/>
        <v>2E</v>
      </c>
      <c r="D51" s="8" t="str">
        <f t="shared" si="2"/>
        <v>文字列</v>
      </c>
      <c r="E51" s="8" t="s">
        <v>63</v>
      </c>
      <c r="F51" s="8"/>
      <c r="G51" s="8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1.5" x14ac:dyDescent="0.15">
      <c r="A52" s="7">
        <v>47</v>
      </c>
      <c r="B52" s="7">
        <f t="shared" si="0"/>
        <v>101111</v>
      </c>
      <c r="C52" s="7" t="str">
        <f t="shared" si="1"/>
        <v>2F</v>
      </c>
      <c r="D52" s="8" t="str">
        <f t="shared" si="2"/>
        <v>文字列</v>
      </c>
      <c r="E52" s="8" t="s">
        <v>64</v>
      </c>
      <c r="F52" s="8"/>
      <c r="G52" s="8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1.5" x14ac:dyDescent="0.15">
      <c r="A53" s="7">
        <v>48</v>
      </c>
      <c r="B53" s="7">
        <f t="shared" si="0"/>
        <v>110000</v>
      </c>
      <c r="C53" s="7" t="str">
        <f t="shared" si="1"/>
        <v>30</v>
      </c>
      <c r="D53" s="8" t="str">
        <f t="shared" si="2"/>
        <v>文字列</v>
      </c>
      <c r="E53" s="8"/>
      <c r="F53" s="8"/>
      <c r="G53" s="8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1.5" x14ac:dyDescent="0.15">
      <c r="A54" s="7">
        <v>0</v>
      </c>
      <c r="B54" s="7">
        <f t="shared" si="0"/>
        <v>0</v>
      </c>
      <c r="C54" s="7" t="str">
        <f t="shared" si="1"/>
        <v>0</v>
      </c>
      <c r="D54" s="8" t="str">
        <f t="shared" si="2"/>
        <v>-</v>
      </c>
      <c r="E54" s="8"/>
      <c r="F54" s="8"/>
      <c r="G54" s="8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1.5" x14ac:dyDescent="0.15">
      <c r="A55" s="7">
        <v>1024</v>
      </c>
      <c r="B55" s="7">
        <f t="shared" si="0"/>
        <v>10000000000</v>
      </c>
      <c r="C55" s="7" t="str">
        <f t="shared" si="1"/>
        <v>400</v>
      </c>
      <c r="D55" s="8" t="str">
        <f t="shared" si="2"/>
        <v>uint32_t</v>
      </c>
      <c r="E55" s="8"/>
      <c r="F55" s="8"/>
      <c r="G55" s="8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1.5" x14ac:dyDescent="0.15">
      <c r="A56" s="7">
        <v>0</v>
      </c>
      <c r="B56" s="7">
        <f t="shared" si="0"/>
        <v>0</v>
      </c>
      <c r="C56" s="7" t="str">
        <f t="shared" si="1"/>
        <v>0</v>
      </c>
      <c r="D56" s="8" t="str">
        <f t="shared" si="2"/>
        <v>-</v>
      </c>
      <c r="E56" s="8"/>
      <c r="F56" s="8"/>
      <c r="G56" s="8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1.5" x14ac:dyDescent="0.15">
      <c r="A57" s="7">
        <v>1040</v>
      </c>
      <c r="B57" s="7">
        <f t="shared" si="0"/>
        <v>10000010000</v>
      </c>
      <c r="C57" s="7" t="str">
        <f t="shared" si="1"/>
        <v>410</v>
      </c>
      <c r="D57" s="8" t="str">
        <f t="shared" si="2"/>
        <v>uint32_t</v>
      </c>
      <c r="E57" s="8" t="s">
        <v>65</v>
      </c>
      <c r="F57" s="8" t="s">
        <v>66</v>
      </c>
      <c r="G57" s="8"/>
      <c r="H57" s="7" t="s">
        <v>26</v>
      </c>
      <c r="I57" s="8" t="s">
        <v>15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1.5" x14ac:dyDescent="0.15">
      <c r="A58" s="7">
        <v>1041</v>
      </c>
      <c r="B58" s="7">
        <f t="shared" si="0"/>
        <v>10000010001</v>
      </c>
      <c r="C58" s="7" t="str">
        <f t="shared" si="1"/>
        <v>411</v>
      </c>
      <c r="D58" s="8" t="str">
        <f t="shared" si="2"/>
        <v>uint32_t</v>
      </c>
      <c r="E58" s="8" t="s">
        <v>67</v>
      </c>
      <c r="F58" s="8" t="s">
        <v>68</v>
      </c>
      <c r="G58" s="8"/>
      <c r="H58" s="7" t="s">
        <v>26</v>
      </c>
      <c r="I58" s="8" t="s">
        <v>15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1.5" x14ac:dyDescent="0.15">
      <c r="A59" s="8">
        <v>0</v>
      </c>
      <c r="B59" s="7">
        <f t="shared" si="0"/>
        <v>0</v>
      </c>
      <c r="C59" s="7" t="str">
        <f t="shared" si="1"/>
        <v>0</v>
      </c>
      <c r="D59" s="8" t="str">
        <f t="shared" si="2"/>
        <v>-</v>
      </c>
      <c r="E59" s="8"/>
      <c r="F59" s="8"/>
      <c r="G59" s="8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1.5" x14ac:dyDescent="0.15">
      <c r="A60" s="7">
        <v>1056</v>
      </c>
      <c r="B60" s="7">
        <f t="shared" si="0"/>
        <v>10000100000</v>
      </c>
      <c r="C60" s="7" t="str">
        <f t="shared" si="1"/>
        <v>420</v>
      </c>
      <c r="D60" s="8" t="str">
        <f t="shared" si="2"/>
        <v>uint32_t</v>
      </c>
      <c r="E60" s="8" t="s">
        <v>69</v>
      </c>
      <c r="F60" s="8" t="s">
        <v>70</v>
      </c>
      <c r="G60" s="8"/>
      <c r="H60" s="7">
        <v>10</v>
      </c>
      <c r="I60" s="8" t="s">
        <v>10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1.5" x14ac:dyDescent="0.15">
      <c r="A61" s="8">
        <v>1057</v>
      </c>
      <c r="B61" s="7">
        <f t="shared" si="0"/>
        <v>10000100001</v>
      </c>
      <c r="C61" s="7" t="str">
        <f t="shared" si="1"/>
        <v>421</v>
      </c>
      <c r="D61" s="8" t="str">
        <f t="shared" si="2"/>
        <v>uint32_t</v>
      </c>
      <c r="E61" s="8" t="s">
        <v>71</v>
      </c>
      <c r="F61" s="8" t="s">
        <v>72</v>
      </c>
      <c r="G61" s="8"/>
      <c r="H61" s="7">
        <v>10</v>
      </c>
      <c r="I61" s="8" t="s">
        <v>10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1.5" x14ac:dyDescent="0.15">
      <c r="A62" s="7">
        <v>1058</v>
      </c>
      <c r="B62" s="7">
        <f t="shared" si="0"/>
        <v>10000100010</v>
      </c>
      <c r="C62" s="7" t="str">
        <f t="shared" si="1"/>
        <v>422</v>
      </c>
      <c r="D62" s="8" t="str">
        <f t="shared" si="2"/>
        <v>uint32_t</v>
      </c>
      <c r="E62" s="8" t="s">
        <v>73</v>
      </c>
      <c r="F62" s="8" t="s">
        <v>74</v>
      </c>
      <c r="G62" s="8"/>
      <c r="H62" s="7">
        <v>10</v>
      </c>
      <c r="I62" s="8" t="s">
        <v>10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1.5" x14ac:dyDescent="0.15">
      <c r="A63" s="8">
        <v>1059</v>
      </c>
      <c r="B63" s="7">
        <f t="shared" si="0"/>
        <v>10000100011</v>
      </c>
      <c r="C63" s="7" t="str">
        <f t="shared" si="1"/>
        <v>423</v>
      </c>
      <c r="D63" s="8" t="str">
        <f t="shared" si="2"/>
        <v>uint32_t</v>
      </c>
      <c r="E63" s="8" t="s">
        <v>75</v>
      </c>
      <c r="F63" s="8" t="s">
        <v>76</v>
      </c>
      <c r="G63" s="8"/>
      <c r="H63" s="7">
        <v>10</v>
      </c>
      <c r="I63" s="8" t="s">
        <v>10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1.5" x14ac:dyDescent="0.15">
      <c r="A64" s="7">
        <v>1060</v>
      </c>
      <c r="B64" s="7">
        <f t="shared" si="0"/>
        <v>10000100100</v>
      </c>
      <c r="C64" s="7" t="str">
        <f t="shared" si="1"/>
        <v>424</v>
      </c>
      <c r="D64" s="8" t="str">
        <f t="shared" si="2"/>
        <v>uint32_t</v>
      </c>
      <c r="E64" s="8"/>
      <c r="F64" s="8" t="s">
        <v>77</v>
      </c>
      <c r="G64" s="8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1.5" x14ac:dyDescent="0.15">
      <c r="A65" s="8">
        <v>1061</v>
      </c>
      <c r="B65" s="7">
        <f t="shared" si="0"/>
        <v>10000100101</v>
      </c>
      <c r="C65" s="7" t="str">
        <f t="shared" si="1"/>
        <v>425</v>
      </c>
      <c r="D65" s="8" t="str">
        <f t="shared" si="2"/>
        <v>uint32_t</v>
      </c>
      <c r="E65" s="8"/>
      <c r="F65" s="8" t="s">
        <v>78</v>
      </c>
      <c r="G65" s="8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1.5" x14ac:dyDescent="0.15">
      <c r="A66" s="7">
        <v>1062</v>
      </c>
      <c r="B66" s="7">
        <f t="shared" si="0"/>
        <v>10000100110</v>
      </c>
      <c r="C66" s="7" t="str">
        <f t="shared" si="1"/>
        <v>426</v>
      </c>
      <c r="D66" s="8" t="str">
        <f t="shared" si="2"/>
        <v>uint32_t</v>
      </c>
      <c r="E66" s="8"/>
      <c r="F66" s="8" t="s">
        <v>79</v>
      </c>
      <c r="G66" s="8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1.5" x14ac:dyDescent="0.15">
      <c r="A67" s="8">
        <v>1063</v>
      </c>
      <c r="B67" s="7">
        <f t="shared" si="0"/>
        <v>10000100111</v>
      </c>
      <c r="C67" s="7" t="str">
        <f t="shared" si="1"/>
        <v>427</v>
      </c>
      <c r="D67" s="8" t="str">
        <f t="shared" si="2"/>
        <v>uint32_t</v>
      </c>
      <c r="E67" s="8"/>
      <c r="F67" s="8" t="s">
        <v>80</v>
      </c>
      <c r="G67" s="8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1.5" x14ac:dyDescent="0.15">
      <c r="A68" s="8">
        <v>0</v>
      </c>
      <c r="B68" s="7">
        <f t="shared" si="0"/>
        <v>0</v>
      </c>
      <c r="C68" s="7" t="str">
        <f t="shared" si="1"/>
        <v>0</v>
      </c>
      <c r="D68" s="8" t="str">
        <f t="shared" si="2"/>
        <v>-</v>
      </c>
      <c r="E68" s="8"/>
      <c r="F68" s="8"/>
      <c r="G68" s="8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1.5" x14ac:dyDescent="0.15">
      <c r="A69" s="7">
        <v>1279</v>
      </c>
      <c r="B69" s="7">
        <f t="shared" si="0"/>
        <v>10011111111</v>
      </c>
      <c r="C69" s="7" t="str">
        <f t="shared" si="1"/>
        <v>4FF</v>
      </c>
      <c r="D69" s="8" t="str">
        <f t="shared" si="2"/>
        <v>uint32_t</v>
      </c>
      <c r="E69" s="8"/>
      <c r="F69" s="8"/>
      <c r="G69" s="8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1.5" x14ac:dyDescent="0.15">
      <c r="A70" s="7">
        <v>1280</v>
      </c>
      <c r="B70" s="7">
        <f t="shared" si="0"/>
        <v>10100000000</v>
      </c>
      <c r="C70" s="7" t="str">
        <f t="shared" si="1"/>
        <v>500</v>
      </c>
      <c r="D70" s="8" t="str">
        <f t="shared" si="2"/>
        <v>uint16_t</v>
      </c>
      <c r="E70" s="8"/>
      <c r="F70" s="8"/>
      <c r="G70" s="8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1.5" x14ac:dyDescent="0.15">
      <c r="A71" s="7">
        <v>0</v>
      </c>
      <c r="B71" s="7">
        <f t="shared" si="0"/>
        <v>0</v>
      </c>
      <c r="C71" s="7" t="str">
        <f t="shared" si="1"/>
        <v>0</v>
      </c>
      <c r="D71" s="8" t="str">
        <f t="shared" si="2"/>
        <v>-</v>
      </c>
      <c r="E71" s="8"/>
      <c r="F71" s="8"/>
      <c r="G71" s="8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1.5" x14ac:dyDescent="0.15">
      <c r="A72" s="7">
        <v>1535</v>
      </c>
      <c r="B72" s="7">
        <f t="shared" si="0"/>
        <v>10111111111</v>
      </c>
      <c r="C72" s="7" t="str">
        <f t="shared" si="1"/>
        <v>5FF</v>
      </c>
      <c r="D72" s="8" t="str">
        <f t="shared" si="2"/>
        <v>uint16_t</v>
      </c>
      <c r="E72" s="8"/>
      <c r="F72" s="8"/>
      <c r="G72" s="8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1.5" x14ac:dyDescent="0.15">
      <c r="A73" s="7">
        <v>1536</v>
      </c>
      <c r="B73" s="7">
        <f t="shared" si="0"/>
        <v>11000000000</v>
      </c>
      <c r="C73" s="7" t="str">
        <f t="shared" si="1"/>
        <v>600</v>
      </c>
      <c r="D73" s="8" t="str">
        <f t="shared" si="2"/>
        <v>float</v>
      </c>
      <c r="E73" s="8"/>
      <c r="F73" s="8"/>
      <c r="G73" s="8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1.5" x14ac:dyDescent="0.15">
      <c r="A74" s="7">
        <v>0</v>
      </c>
      <c r="B74" s="7">
        <f t="shared" si="0"/>
        <v>0</v>
      </c>
      <c r="C74" s="7" t="str">
        <f t="shared" si="1"/>
        <v>0</v>
      </c>
      <c r="D74" s="8" t="str">
        <f t="shared" si="2"/>
        <v>-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1.5" x14ac:dyDescent="0.15">
      <c r="A75" s="7">
        <v>1552</v>
      </c>
      <c r="B75" s="7">
        <f t="shared" si="0"/>
        <v>11000010000</v>
      </c>
      <c r="C75" s="7" t="str">
        <f t="shared" si="1"/>
        <v>610</v>
      </c>
      <c r="D75" s="8" t="str">
        <f t="shared" si="2"/>
        <v>float</v>
      </c>
      <c r="E75" s="8" t="s">
        <v>81</v>
      </c>
      <c r="F75" s="8" t="s">
        <v>82</v>
      </c>
      <c r="H75" s="7" t="s">
        <v>26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1.5" x14ac:dyDescent="0.15">
      <c r="A76" s="7">
        <v>1553</v>
      </c>
      <c r="B76" s="7">
        <f t="shared" si="0"/>
        <v>11000010001</v>
      </c>
      <c r="C76" s="7" t="str">
        <f t="shared" si="1"/>
        <v>611</v>
      </c>
      <c r="D76" s="8" t="str">
        <f t="shared" si="2"/>
        <v>float</v>
      </c>
      <c r="E76" s="8" t="s">
        <v>81</v>
      </c>
      <c r="F76" s="8" t="s">
        <v>82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1.5" x14ac:dyDescent="0.15">
      <c r="A77" s="7">
        <v>1554</v>
      </c>
      <c r="B77" s="7">
        <f t="shared" si="0"/>
        <v>11000010010</v>
      </c>
      <c r="C77" s="7" t="str">
        <f t="shared" si="1"/>
        <v>612</v>
      </c>
      <c r="D77" s="8" t="str">
        <f t="shared" si="2"/>
        <v>float</v>
      </c>
      <c r="E77" s="8" t="s">
        <v>81</v>
      </c>
      <c r="F77" s="8" t="s">
        <v>82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1.5" x14ac:dyDescent="0.15">
      <c r="A78" s="7">
        <v>1555</v>
      </c>
      <c r="B78" s="7">
        <f t="shared" si="0"/>
        <v>11000010011</v>
      </c>
      <c r="C78" s="7" t="str">
        <f t="shared" si="1"/>
        <v>613</v>
      </c>
      <c r="D78" s="8" t="str">
        <f t="shared" si="2"/>
        <v>float</v>
      </c>
      <c r="E78" s="8" t="s">
        <v>81</v>
      </c>
      <c r="F78" s="8" t="s">
        <v>82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1.5" x14ac:dyDescent="0.15">
      <c r="A79" s="7">
        <v>0</v>
      </c>
      <c r="B79" s="7">
        <f t="shared" si="0"/>
        <v>0</v>
      </c>
      <c r="C79" s="7" t="str">
        <f t="shared" si="1"/>
        <v>0</v>
      </c>
      <c r="D79" s="8" t="str">
        <f t="shared" si="2"/>
        <v>-</v>
      </c>
      <c r="E79" s="8"/>
      <c r="F79" s="8"/>
      <c r="G79" s="8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1.5" x14ac:dyDescent="0.15">
      <c r="A80" s="7">
        <v>1568</v>
      </c>
      <c r="B80" s="7">
        <f t="shared" si="0"/>
        <v>11000100000</v>
      </c>
      <c r="C80" s="7" t="str">
        <f t="shared" si="1"/>
        <v>620</v>
      </c>
      <c r="D80" s="8" t="str">
        <f t="shared" si="2"/>
        <v>float</v>
      </c>
      <c r="E80" s="11" t="s">
        <v>83</v>
      </c>
      <c r="F80" s="11" t="s">
        <v>84</v>
      </c>
      <c r="G80" s="8"/>
      <c r="H80" s="7">
        <v>10</v>
      </c>
      <c r="I80" s="8" t="s">
        <v>10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1.5" x14ac:dyDescent="0.15">
      <c r="A81" s="7">
        <v>1569</v>
      </c>
      <c r="B81" s="7">
        <f t="shared" si="0"/>
        <v>11000100001</v>
      </c>
      <c r="C81" s="7" t="str">
        <f t="shared" si="1"/>
        <v>621</v>
      </c>
      <c r="D81" s="8" t="str">
        <f t="shared" si="2"/>
        <v>float</v>
      </c>
      <c r="E81" s="11" t="s">
        <v>85</v>
      </c>
      <c r="F81" s="11" t="s">
        <v>86</v>
      </c>
      <c r="G81" s="8"/>
      <c r="H81" s="7">
        <v>10</v>
      </c>
      <c r="I81" s="8" t="s">
        <v>10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1.5" x14ac:dyDescent="0.15">
      <c r="A82" s="7">
        <v>1570</v>
      </c>
      <c r="B82" s="7">
        <f t="shared" si="0"/>
        <v>11000100010</v>
      </c>
      <c r="C82" s="7" t="str">
        <f t="shared" si="1"/>
        <v>622</v>
      </c>
      <c r="D82" s="8" t="str">
        <f t="shared" si="2"/>
        <v>float</v>
      </c>
      <c r="E82" s="11" t="s">
        <v>87</v>
      </c>
      <c r="F82" s="11" t="s">
        <v>88</v>
      </c>
      <c r="G82" s="8"/>
      <c r="H82" s="7">
        <v>10</v>
      </c>
      <c r="I82" s="8" t="s">
        <v>10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1.5" x14ac:dyDescent="0.15">
      <c r="A83" s="7">
        <v>1571</v>
      </c>
      <c r="B83" s="7">
        <f t="shared" si="0"/>
        <v>11000100011</v>
      </c>
      <c r="C83" s="7" t="str">
        <f t="shared" si="1"/>
        <v>623</v>
      </c>
      <c r="D83" s="8" t="str">
        <f t="shared" si="2"/>
        <v>float</v>
      </c>
      <c r="E83" s="8" t="s">
        <v>89</v>
      </c>
      <c r="F83" s="8" t="s">
        <v>90</v>
      </c>
      <c r="G83" s="8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1.5" x14ac:dyDescent="0.15">
      <c r="A84" s="7">
        <v>1572</v>
      </c>
      <c r="B84" s="7">
        <f t="shared" si="0"/>
        <v>11000100100</v>
      </c>
      <c r="C84" s="7" t="str">
        <f t="shared" si="1"/>
        <v>624</v>
      </c>
      <c r="D84" s="8" t="str">
        <f t="shared" si="2"/>
        <v>float</v>
      </c>
      <c r="E84" s="8"/>
      <c r="F84" s="8" t="s">
        <v>91</v>
      </c>
      <c r="G84" s="8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1.5" x14ac:dyDescent="0.15">
      <c r="A85" s="7">
        <v>1573</v>
      </c>
      <c r="B85" s="7">
        <f t="shared" si="0"/>
        <v>11000100101</v>
      </c>
      <c r="C85" s="7" t="str">
        <f t="shared" si="1"/>
        <v>625</v>
      </c>
      <c r="D85" s="8" t="str">
        <f t="shared" si="2"/>
        <v>float</v>
      </c>
      <c r="E85" s="8"/>
      <c r="F85" s="8" t="s">
        <v>91</v>
      </c>
      <c r="G85" s="8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1.5" x14ac:dyDescent="0.15">
      <c r="A86" s="7">
        <v>1574</v>
      </c>
      <c r="B86" s="7">
        <f t="shared" si="0"/>
        <v>11000100110</v>
      </c>
      <c r="C86" s="7" t="str">
        <f t="shared" si="1"/>
        <v>626</v>
      </c>
      <c r="D86" s="8" t="str">
        <f t="shared" si="2"/>
        <v>float</v>
      </c>
      <c r="E86" s="8"/>
      <c r="F86" s="8" t="s">
        <v>91</v>
      </c>
      <c r="G86" s="8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1.5" x14ac:dyDescent="0.15">
      <c r="A87" s="7">
        <v>1575</v>
      </c>
      <c r="B87" s="7">
        <f t="shared" si="0"/>
        <v>11000100111</v>
      </c>
      <c r="C87" s="7" t="str">
        <f t="shared" si="1"/>
        <v>627</v>
      </c>
      <c r="D87" s="8" t="str">
        <f t="shared" si="2"/>
        <v>float</v>
      </c>
      <c r="E87" s="8"/>
      <c r="F87" s="8" t="s">
        <v>91</v>
      </c>
      <c r="G87" s="8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1.5" x14ac:dyDescent="0.15">
      <c r="A88" s="7">
        <v>1576</v>
      </c>
      <c r="B88" s="7">
        <f t="shared" si="0"/>
        <v>11000101000</v>
      </c>
      <c r="C88" s="7" t="str">
        <f t="shared" si="1"/>
        <v>628</v>
      </c>
      <c r="D88" s="8" t="str">
        <f t="shared" si="2"/>
        <v>float</v>
      </c>
      <c r="E88" s="8"/>
      <c r="F88" s="8" t="s">
        <v>92</v>
      </c>
      <c r="G88" s="8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1.5" x14ac:dyDescent="0.15">
      <c r="A89" s="7">
        <v>1577</v>
      </c>
      <c r="B89" s="7">
        <f t="shared" si="0"/>
        <v>11000101001</v>
      </c>
      <c r="C89" s="7" t="str">
        <f t="shared" si="1"/>
        <v>629</v>
      </c>
      <c r="D89" s="8" t="str">
        <f t="shared" si="2"/>
        <v>float</v>
      </c>
      <c r="E89" s="8"/>
      <c r="F89" s="8" t="s">
        <v>92</v>
      </c>
      <c r="G89" s="8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1.5" x14ac:dyDescent="0.15">
      <c r="A90" s="7">
        <v>1578</v>
      </c>
      <c r="B90" s="7">
        <f t="shared" si="0"/>
        <v>11000101010</v>
      </c>
      <c r="C90" s="7" t="str">
        <f t="shared" si="1"/>
        <v>62A</v>
      </c>
      <c r="D90" s="8" t="str">
        <f t="shared" si="2"/>
        <v>float</v>
      </c>
      <c r="E90" s="8"/>
      <c r="F90" s="8" t="s">
        <v>92</v>
      </c>
      <c r="G90" s="8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1.5" x14ac:dyDescent="0.15">
      <c r="A91" s="7">
        <v>1579</v>
      </c>
      <c r="B91" s="7">
        <f t="shared" si="0"/>
        <v>11000101011</v>
      </c>
      <c r="C91" s="7" t="str">
        <f t="shared" si="1"/>
        <v>62B</v>
      </c>
      <c r="D91" s="8" t="str">
        <f t="shared" si="2"/>
        <v>float</v>
      </c>
      <c r="E91" s="8"/>
      <c r="F91" s="8" t="s">
        <v>92</v>
      </c>
      <c r="G91" s="8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1.5" x14ac:dyDescent="0.15">
      <c r="A92" s="7">
        <v>1580</v>
      </c>
      <c r="B92" s="7">
        <f t="shared" si="0"/>
        <v>11000101100</v>
      </c>
      <c r="C92" s="7" t="str">
        <f t="shared" si="1"/>
        <v>62C</v>
      </c>
      <c r="D92" s="8" t="str">
        <f t="shared" si="2"/>
        <v>float</v>
      </c>
      <c r="E92" s="8" t="s">
        <v>93</v>
      </c>
      <c r="F92" s="8" t="s">
        <v>94</v>
      </c>
      <c r="G92" s="8"/>
      <c r="H92" s="7">
        <v>1</v>
      </c>
      <c r="I92" s="11" t="s">
        <v>14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1.5" x14ac:dyDescent="0.15">
      <c r="A93" s="7">
        <v>1581</v>
      </c>
      <c r="B93" s="7">
        <f t="shared" si="0"/>
        <v>11000101101</v>
      </c>
      <c r="C93" s="7" t="str">
        <f t="shared" si="1"/>
        <v>62D</v>
      </c>
      <c r="D93" s="8" t="str">
        <f t="shared" si="2"/>
        <v>float</v>
      </c>
      <c r="E93" s="8"/>
      <c r="F93" s="8" t="s">
        <v>94</v>
      </c>
      <c r="G93" s="8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1.5" x14ac:dyDescent="0.15">
      <c r="A94" s="7">
        <v>1582</v>
      </c>
      <c r="B94" s="7">
        <f t="shared" si="0"/>
        <v>11000101110</v>
      </c>
      <c r="C94" s="7" t="str">
        <f t="shared" si="1"/>
        <v>62E</v>
      </c>
      <c r="D94" s="8" t="str">
        <f t="shared" si="2"/>
        <v>float</v>
      </c>
      <c r="E94" s="8"/>
      <c r="F94" s="8" t="s">
        <v>94</v>
      </c>
      <c r="G94" s="8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1.5" x14ac:dyDescent="0.15">
      <c r="A95" s="7">
        <v>1583</v>
      </c>
      <c r="B95" s="7">
        <f t="shared" si="0"/>
        <v>11000101111</v>
      </c>
      <c r="C95" s="7" t="str">
        <f t="shared" si="1"/>
        <v>62F</v>
      </c>
      <c r="D95" s="8" t="str">
        <f t="shared" si="2"/>
        <v>float</v>
      </c>
      <c r="E95" s="8"/>
      <c r="F95" s="8" t="s">
        <v>94</v>
      </c>
      <c r="G95" s="8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1.5" x14ac:dyDescent="0.15">
      <c r="A96" s="7">
        <v>1584</v>
      </c>
      <c r="B96" s="7">
        <f t="shared" si="0"/>
        <v>11000110000</v>
      </c>
      <c r="C96" s="7" t="str">
        <f t="shared" si="1"/>
        <v>630</v>
      </c>
      <c r="D96" s="8" t="str">
        <f t="shared" si="2"/>
        <v>float</v>
      </c>
      <c r="E96" s="11" t="s">
        <v>95</v>
      </c>
      <c r="F96" s="11" t="s">
        <v>84</v>
      </c>
      <c r="G96" s="8"/>
      <c r="H96" s="7">
        <v>10</v>
      </c>
      <c r="I96" s="8" t="s">
        <v>13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1.5" x14ac:dyDescent="0.15">
      <c r="A97" s="7">
        <v>1585</v>
      </c>
      <c r="B97" s="7">
        <f t="shared" si="0"/>
        <v>11000110001</v>
      </c>
      <c r="C97" s="7" t="str">
        <f t="shared" si="1"/>
        <v>631</v>
      </c>
      <c r="D97" s="8" t="str">
        <f t="shared" si="2"/>
        <v>float</v>
      </c>
      <c r="E97" s="11" t="s">
        <v>96</v>
      </c>
      <c r="F97" s="11" t="s">
        <v>86</v>
      </c>
      <c r="G97" s="8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1.5" x14ac:dyDescent="0.15">
      <c r="A98" s="7">
        <v>1586</v>
      </c>
      <c r="B98" s="7">
        <f t="shared" si="0"/>
        <v>11000110010</v>
      </c>
      <c r="C98" s="7" t="str">
        <f t="shared" si="1"/>
        <v>632</v>
      </c>
      <c r="D98" s="8" t="str">
        <f t="shared" si="2"/>
        <v>float</v>
      </c>
      <c r="E98" s="11" t="s">
        <v>97</v>
      </c>
      <c r="F98" s="11" t="s">
        <v>88</v>
      </c>
      <c r="G98" s="8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1.5" x14ac:dyDescent="0.15">
      <c r="A99" s="7">
        <v>1587</v>
      </c>
      <c r="B99" s="7">
        <f t="shared" si="0"/>
        <v>11000110011</v>
      </c>
      <c r="C99" s="7" t="str">
        <f t="shared" si="1"/>
        <v>633</v>
      </c>
      <c r="D99" s="8" t="str">
        <f t="shared" si="2"/>
        <v>float</v>
      </c>
      <c r="E99" s="8" t="s">
        <v>98</v>
      </c>
      <c r="F99" s="8" t="s">
        <v>90</v>
      </c>
      <c r="G99" s="8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1.5" x14ac:dyDescent="0.15">
      <c r="A100" s="7">
        <v>1588</v>
      </c>
      <c r="B100" s="7">
        <f t="shared" si="0"/>
        <v>11000110100</v>
      </c>
      <c r="C100" s="7" t="str">
        <f t="shared" si="1"/>
        <v>634</v>
      </c>
      <c r="D100" s="8" t="str">
        <f t="shared" si="2"/>
        <v>float</v>
      </c>
      <c r="E100" s="8"/>
      <c r="F100" s="8" t="s">
        <v>91</v>
      </c>
      <c r="G100" s="8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1.5" x14ac:dyDescent="0.15">
      <c r="A101" s="7">
        <v>1589</v>
      </c>
      <c r="B101" s="7">
        <f t="shared" si="0"/>
        <v>11000110101</v>
      </c>
      <c r="C101" s="7" t="str">
        <f t="shared" si="1"/>
        <v>635</v>
      </c>
      <c r="D101" s="8" t="str">
        <f t="shared" si="2"/>
        <v>float</v>
      </c>
      <c r="E101" s="8"/>
      <c r="F101" s="8" t="s">
        <v>91</v>
      </c>
      <c r="G101" s="8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1.5" x14ac:dyDescent="0.15">
      <c r="A102" s="7">
        <v>1590</v>
      </c>
      <c r="B102" s="7">
        <f t="shared" si="0"/>
        <v>11000110110</v>
      </c>
      <c r="C102" s="7" t="str">
        <f t="shared" si="1"/>
        <v>636</v>
      </c>
      <c r="D102" s="8" t="str">
        <f t="shared" si="2"/>
        <v>float</v>
      </c>
      <c r="E102" s="8"/>
      <c r="F102" s="8" t="s">
        <v>91</v>
      </c>
      <c r="G102" s="8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1.5" x14ac:dyDescent="0.15">
      <c r="A103" s="7">
        <v>1591</v>
      </c>
      <c r="B103" s="7">
        <f t="shared" si="0"/>
        <v>11000110111</v>
      </c>
      <c r="C103" s="7" t="str">
        <f t="shared" si="1"/>
        <v>637</v>
      </c>
      <c r="D103" s="8" t="str">
        <f t="shared" si="2"/>
        <v>float</v>
      </c>
      <c r="E103" s="8"/>
      <c r="F103" s="8" t="s">
        <v>91</v>
      </c>
      <c r="G103" s="8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1.5" x14ac:dyDescent="0.15">
      <c r="A104" s="7">
        <v>1592</v>
      </c>
      <c r="B104" s="7">
        <f t="shared" si="0"/>
        <v>11000111000</v>
      </c>
      <c r="C104" s="7" t="str">
        <f t="shared" si="1"/>
        <v>638</v>
      </c>
      <c r="D104" s="8" t="str">
        <f t="shared" si="2"/>
        <v>float</v>
      </c>
      <c r="E104" s="8"/>
      <c r="F104" s="8" t="s">
        <v>92</v>
      </c>
      <c r="G104" s="8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1.5" x14ac:dyDescent="0.15">
      <c r="A105" s="7">
        <v>1593</v>
      </c>
      <c r="B105" s="7">
        <f t="shared" si="0"/>
        <v>11000111001</v>
      </c>
      <c r="C105" s="7" t="str">
        <f t="shared" si="1"/>
        <v>639</v>
      </c>
      <c r="D105" s="8" t="str">
        <f t="shared" si="2"/>
        <v>float</v>
      </c>
      <c r="E105" s="8"/>
      <c r="F105" s="8" t="s">
        <v>92</v>
      </c>
      <c r="G105" s="8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1.5" x14ac:dyDescent="0.15">
      <c r="A106" s="7">
        <v>1594</v>
      </c>
      <c r="B106" s="7">
        <f t="shared" si="0"/>
        <v>11000111010</v>
      </c>
      <c r="C106" s="7" t="str">
        <f t="shared" si="1"/>
        <v>63A</v>
      </c>
      <c r="D106" s="8" t="str">
        <f t="shared" si="2"/>
        <v>float</v>
      </c>
      <c r="E106" s="8"/>
      <c r="F106" s="8" t="s">
        <v>92</v>
      </c>
      <c r="G106" s="8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1.5" x14ac:dyDescent="0.15">
      <c r="A107" s="7">
        <v>1595</v>
      </c>
      <c r="B107" s="7">
        <f t="shared" si="0"/>
        <v>11000111011</v>
      </c>
      <c r="C107" s="7" t="str">
        <f t="shared" si="1"/>
        <v>63B</v>
      </c>
      <c r="D107" s="8" t="str">
        <f t="shared" si="2"/>
        <v>float</v>
      </c>
      <c r="E107" s="8"/>
      <c r="F107" s="8" t="s">
        <v>92</v>
      </c>
      <c r="G107" s="8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1.5" x14ac:dyDescent="0.15">
      <c r="A108" s="7">
        <v>1596</v>
      </c>
      <c r="B108" s="7">
        <f t="shared" si="0"/>
        <v>11000111100</v>
      </c>
      <c r="C108" s="7" t="str">
        <f t="shared" si="1"/>
        <v>63C</v>
      </c>
      <c r="D108" s="8" t="str">
        <f t="shared" si="2"/>
        <v>float</v>
      </c>
      <c r="E108" s="8" t="s">
        <v>99</v>
      </c>
      <c r="F108" s="8" t="s">
        <v>94</v>
      </c>
      <c r="G108" s="8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1.5" x14ac:dyDescent="0.15">
      <c r="A109" s="7">
        <v>1597</v>
      </c>
      <c r="B109" s="7">
        <f t="shared" si="0"/>
        <v>11000111101</v>
      </c>
      <c r="C109" s="7" t="str">
        <f t="shared" si="1"/>
        <v>63D</v>
      </c>
      <c r="D109" s="8" t="str">
        <f t="shared" si="2"/>
        <v>float</v>
      </c>
      <c r="E109" s="8"/>
      <c r="F109" s="8" t="s">
        <v>94</v>
      </c>
      <c r="G109" s="8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1.5" x14ac:dyDescent="0.15">
      <c r="A110" s="7">
        <v>1598</v>
      </c>
      <c r="B110" s="7">
        <f t="shared" si="0"/>
        <v>11000111110</v>
      </c>
      <c r="C110" s="7" t="str">
        <f t="shared" si="1"/>
        <v>63E</v>
      </c>
      <c r="D110" s="8" t="str">
        <f t="shared" si="2"/>
        <v>float</v>
      </c>
      <c r="E110" s="8"/>
      <c r="F110" s="8" t="s">
        <v>94</v>
      </c>
      <c r="G110" s="8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1.5" x14ac:dyDescent="0.15">
      <c r="A111" s="7">
        <v>1599</v>
      </c>
      <c r="B111" s="7">
        <f t="shared" si="0"/>
        <v>11000111111</v>
      </c>
      <c r="C111" s="7" t="str">
        <f t="shared" si="1"/>
        <v>63F</v>
      </c>
      <c r="D111" s="8" t="str">
        <f t="shared" si="2"/>
        <v>float</v>
      </c>
      <c r="E111" s="8"/>
      <c r="F111" s="8" t="s">
        <v>94</v>
      </c>
      <c r="G111" s="8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1.5" x14ac:dyDescent="0.15">
      <c r="A112" s="7">
        <v>0</v>
      </c>
      <c r="B112" s="7">
        <f t="shared" si="0"/>
        <v>0</v>
      </c>
      <c r="C112" s="7" t="str">
        <f t="shared" si="1"/>
        <v>0</v>
      </c>
      <c r="D112" s="8" t="str">
        <f t="shared" si="2"/>
        <v>-</v>
      </c>
      <c r="E112" s="8"/>
      <c r="F112" s="8"/>
      <c r="G112" s="8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1.5" x14ac:dyDescent="0.15">
      <c r="A113" s="7">
        <v>1791</v>
      </c>
      <c r="B113" s="7">
        <f t="shared" si="0"/>
        <v>11011111111</v>
      </c>
      <c r="C113" s="7" t="str">
        <f t="shared" si="1"/>
        <v>6FF</v>
      </c>
      <c r="D113" s="8" t="str">
        <f t="shared" si="2"/>
        <v>float</v>
      </c>
      <c r="E113" s="8"/>
      <c r="F113" s="8"/>
      <c r="G113" s="8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1.5" x14ac:dyDescent="0.15">
      <c r="A114" s="7">
        <v>1792</v>
      </c>
      <c r="B114" s="7">
        <f t="shared" si="0"/>
        <v>11100000000</v>
      </c>
      <c r="C114" s="7" t="str">
        <f t="shared" si="1"/>
        <v>700</v>
      </c>
      <c r="D114" s="8" t="str">
        <f t="shared" si="2"/>
        <v>fp16</v>
      </c>
      <c r="E114" s="8"/>
      <c r="F114" s="8"/>
      <c r="G114" s="8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1.5" x14ac:dyDescent="0.15">
      <c r="A115" s="7">
        <v>0</v>
      </c>
      <c r="B115" s="7">
        <f t="shared" si="0"/>
        <v>0</v>
      </c>
      <c r="C115" s="7" t="str">
        <f t="shared" si="1"/>
        <v>0</v>
      </c>
      <c r="D115" s="8" t="str">
        <f t="shared" si="2"/>
        <v>-</v>
      </c>
      <c r="E115" s="8"/>
      <c r="F115" s="8"/>
      <c r="G115" s="8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1.5" x14ac:dyDescent="0.15">
      <c r="A116" s="7">
        <v>1824</v>
      </c>
      <c r="B116" s="7">
        <f t="shared" si="0"/>
        <v>11100100000</v>
      </c>
      <c r="C116" s="7" t="str">
        <f t="shared" si="1"/>
        <v>720</v>
      </c>
      <c r="D116" s="8" t="str">
        <f t="shared" si="2"/>
        <v>fp16</v>
      </c>
      <c r="E116" s="8" t="s">
        <v>100</v>
      </c>
      <c r="F116" s="8" t="s">
        <v>101</v>
      </c>
      <c r="G116" s="8" t="s">
        <v>102</v>
      </c>
      <c r="H116" s="7">
        <v>100</v>
      </c>
      <c r="I116" s="8" t="s">
        <v>10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1.5" x14ac:dyDescent="0.15">
      <c r="A117" s="7">
        <v>1825</v>
      </c>
      <c r="B117" s="7">
        <f t="shared" si="0"/>
        <v>11100100001</v>
      </c>
      <c r="C117" s="7" t="str">
        <f t="shared" si="1"/>
        <v>721</v>
      </c>
      <c r="D117" s="8" t="str">
        <f t="shared" si="2"/>
        <v>fp16</v>
      </c>
      <c r="E117" s="8"/>
      <c r="F117" s="8"/>
      <c r="G117" s="8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1.5" x14ac:dyDescent="0.15">
      <c r="A118" s="7">
        <v>1826</v>
      </c>
      <c r="B118" s="7">
        <f t="shared" si="0"/>
        <v>11100100010</v>
      </c>
      <c r="C118" s="7" t="str">
        <f t="shared" si="1"/>
        <v>722</v>
      </c>
      <c r="D118" s="8" t="str">
        <f t="shared" si="2"/>
        <v>fp16</v>
      </c>
      <c r="E118" s="8" t="s">
        <v>103</v>
      </c>
      <c r="F118" s="8" t="s">
        <v>104</v>
      </c>
      <c r="G118" s="8" t="s">
        <v>102</v>
      </c>
      <c r="H118" s="7">
        <v>100</v>
      </c>
      <c r="I118" s="8" t="s">
        <v>10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1.5" x14ac:dyDescent="0.15">
      <c r="A119" s="7">
        <v>1827</v>
      </c>
      <c r="B119" s="7">
        <f t="shared" si="0"/>
        <v>11100100011</v>
      </c>
      <c r="C119" s="7" t="str">
        <f t="shared" si="1"/>
        <v>723</v>
      </c>
      <c r="D119" s="8" t="str">
        <f t="shared" si="2"/>
        <v>fp16</v>
      </c>
      <c r="E119" s="8"/>
      <c r="F119" s="8"/>
      <c r="G119" s="8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1.5" x14ac:dyDescent="0.15">
      <c r="A120" s="7">
        <v>1828</v>
      </c>
      <c r="B120" s="7">
        <f t="shared" si="0"/>
        <v>11100100100</v>
      </c>
      <c r="C120" s="7" t="str">
        <f t="shared" si="1"/>
        <v>724</v>
      </c>
      <c r="D120" s="8" t="str">
        <f t="shared" si="2"/>
        <v>fp16</v>
      </c>
      <c r="E120" s="8" t="s">
        <v>105</v>
      </c>
      <c r="F120" s="8" t="s">
        <v>106</v>
      </c>
      <c r="G120" s="8" t="s">
        <v>102</v>
      </c>
      <c r="H120" s="7">
        <v>100</v>
      </c>
      <c r="I120" s="8" t="s">
        <v>10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1.5" x14ac:dyDescent="0.15">
      <c r="A121" s="7">
        <v>1829</v>
      </c>
      <c r="B121" s="7">
        <f t="shared" si="0"/>
        <v>11100100101</v>
      </c>
      <c r="C121" s="7" t="str">
        <f t="shared" si="1"/>
        <v>725</v>
      </c>
      <c r="D121" s="8" t="str">
        <f t="shared" si="2"/>
        <v>fp16</v>
      </c>
      <c r="E121" s="8"/>
      <c r="F121" s="8"/>
      <c r="G121" s="8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1.5" x14ac:dyDescent="0.15">
      <c r="A122" s="7">
        <v>1830</v>
      </c>
      <c r="B122" s="7">
        <f t="shared" si="0"/>
        <v>11100100110</v>
      </c>
      <c r="C122" s="7" t="str">
        <f t="shared" si="1"/>
        <v>726</v>
      </c>
      <c r="D122" s="8" t="str">
        <f t="shared" si="2"/>
        <v>fp16</v>
      </c>
      <c r="E122" s="8" t="s">
        <v>107</v>
      </c>
      <c r="F122" s="8" t="s">
        <v>108</v>
      </c>
      <c r="G122" s="8" t="s">
        <v>102</v>
      </c>
      <c r="H122" s="7">
        <v>100</v>
      </c>
      <c r="I122" s="8" t="s">
        <v>10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1.5" x14ac:dyDescent="0.15">
      <c r="A123" s="7">
        <v>1831</v>
      </c>
      <c r="B123" s="7">
        <f t="shared" si="0"/>
        <v>11100100111</v>
      </c>
      <c r="C123" s="7" t="str">
        <f t="shared" si="1"/>
        <v>727</v>
      </c>
      <c r="D123" s="8" t="str">
        <f t="shared" si="2"/>
        <v>fp16</v>
      </c>
      <c r="E123" s="8"/>
      <c r="F123" s="8"/>
      <c r="G123" s="8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1.5" x14ac:dyDescent="0.15">
      <c r="A124" s="7">
        <v>1832</v>
      </c>
      <c r="B124" s="7">
        <f t="shared" si="0"/>
        <v>11100101000</v>
      </c>
      <c r="C124" s="7" t="str">
        <f t="shared" si="1"/>
        <v>728</v>
      </c>
      <c r="D124" s="8" t="str">
        <f t="shared" si="2"/>
        <v>fp16</v>
      </c>
      <c r="E124" s="8"/>
      <c r="F124" s="8" t="s">
        <v>109</v>
      </c>
      <c r="G124" s="8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1.5" x14ac:dyDescent="0.15">
      <c r="A125" s="7">
        <v>1833</v>
      </c>
      <c r="B125" s="7">
        <f t="shared" si="0"/>
        <v>11100101001</v>
      </c>
      <c r="C125" s="7" t="str">
        <f t="shared" si="1"/>
        <v>729</v>
      </c>
      <c r="D125" s="8" t="str">
        <f t="shared" si="2"/>
        <v>fp16</v>
      </c>
      <c r="E125" s="8"/>
      <c r="F125" s="8"/>
      <c r="G125" s="8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1.5" x14ac:dyDescent="0.15">
      <c r="A126" s="7">
        <v>1834</v>
      </c>
      <c r="B126" s="7">
        <f t="shared" si="0"/>
        <v>11100101010</v>
      </c>
      <c r="C126" s="7" t="str">
        <f t="shared" si="1"/>
        <v>72A</v>
      </c>
      <c r="D126" s="8" t="str">
        <f t="shared" si="2"/>
        <v>fp16</v>
      </c>
      <c r="E126" s="8"/>
      <c r="F126" s="8"/>
      <c r="G126" s="8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1.5" x14ac:dyDescent="0.15">
      <c r="A127" s="7">
        <v>1835</v>
      </c>
      <c r="B127" s="7">
        <f t="shared" si="0"/>
        <v>11100101011</v>
      </c>
      <c r="C127" s="7" t="str">
        <f t="shared" si="1"/>
        <v>72B</v>
      </c>
      <c r="D127" s="8" t="str">
        <f t="shared" si="2"/>
        <v>fp16</v>
      </c>
      <c r="E127" s="8"/>
      <c r="F127" s="8"/>
      <c r="G127" s="8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1.5" x14ac:dyDescent="0.15">
      <c r="A128" s="7">
        <v>1836</v>
      </c>
      <c r="B128" s="7">
        <f t="shared" si="0"/>
        <v>11100101100</v>
      </c>
      <c r="C128" s="7" t="str">
        <f t="shared" si="1"/>
        <v>72C</v>
      </c>
      <c r="D128" s="8" t="str">
        <f t="shared" si="2"/>
        <v>fp16</v>
      </c>
      <c r="E128" s="8"/>
      <c r="F128" s="8"/>
      <c r="G128" s="8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1.5" x14ac:dyDescent="0.15">
      <c r="A129" s="7">
        <v>1837</v>
      </c>
      <c r="B129" s="7">
        <f t="shared" si="0"/>
        <v>11100101101</v>
      </c>
      <c r="C129" s="7" t="str">
        <f t="shared" si="1"/>
        <v>72D</v>
      </c>
      <c r="D129" s="8" t="str">
        <f t="shared" si="2"/>
        <v>fp16</v>
      </c>
      <c r="E129" s="8"/>
      <c r="F129" s="8"/>
      <c r="G129" s="8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1.5" x14ac:dyDescent="0.15">
      <c r="A130" s="7">
        <v>1838</v>
      </c>
      <c r="B130" s="7">
        <f t="shared" si="0"/>
        <v>11100101110</v>
      </c>
      <c r="C130" s="7" t="str">
        <f t="shared" si="1"/>
        <v>72E</v>
      </c>
      <c r="D130" s="8" t="str">
        <f t="shared" si="2"/>
        <v>fp16</v>
      </c>
      <c r="E130" s="8"/>
      <c r="F130" s="8"/>
      <c r="G130" s="8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1.5" x14ac:dyDescent="0.15">
      <c r="A131" s="7">
        <v>1839</v>
      </c>
      <c r="B131" s="7">
        <f t="shared" si="0"/>
        <v>11100101111</v>
      </c>
      <c r="C131" s="7" t="str">
        <f t="shared" si="1"/>
        <v>72F</v>
      </c>
      <c r="D131" s="8" t="str">
        <f t="shared" si="2"/>
        <v>fp16</v>
      </c>
      <c r="E131" s="8"/>
      <c r="F131" s="8"/>
      <c r="G131" s="8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1.5" x14ac:dyDescent="0.15">
      <c r="A132" s="7">
        <v>1840</v>
      </c>
      <c r="B132" s="7">
        <f t="shared" si="0"/>
        <v>11100110000</v>
      </c>
      <c r="C132" s="7" t="str">
        <f t="shared" si="1"/>
        <v>730</v>
      </c>
      <c r="D132" s="8" t="str">
        <f t="shared" si="2"/>
        <v>fp16</v>
      </c>
      <c r="E132" s="8" t="s">
        <v>110</v>
      </c>
      <c r="F132" s="8" t="s">
        <v>101</v>
      </c>
      <c r="G132" s="8" t="s">
        <v>102</v>
      </c>
      <c r="H132" s="7">
        <v>100</v>
      </c>
      <c r="I132" s="8" t="s">
        <v>13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1.5" x14ac:dyDescent="0.15">
      <c r="A133" s="7">
        <v>1841</v>
      </c>
      <c r="B133" s="7">
        <f t="shared" si="0"/>
        <v>11100110001</v>
      </c>
      <c r="C133" s="7" t="str">
        <f t="shared" si="1"/>
        <v>731</v>
      </c>
      <c r="D133" s="8" t="str">
        <f t="shared" si="2"/>
        <v>fp16</v>
      </c>
      <c r="E133" s="8"/>
      <c r="F133" s="8"/>
      <c r="G133" s="8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1.5" x14ac:dyDescent="0.15">
      <c r="A134" s="7">
        <v>1842</v>
      </c>
      <c r="B134" s="7">
        <f t="shared" si="0"/>
        <v>11100110010</v>
      </c>
      <c r="C134" s="7" t="str">
        <f t="shared" si="1"/>
        <v>732</v>
      </c>
      <c r="D134" s="8" t="str">
        <f t="shared" si="2"/>
        <v>fp16</v>
      </c>
      <c r="E134" s="8" t="s">
        <v>111</v>
      </c>
      <c r="F134" s="8" t="s">
        <v>104</v>
      </c>
      <c r="G134" s="8" t="s">
        <v>102</v>
      </c>
      <c r="H134" s="7">
        <v>0</v>
      </c>
      <c r="I134" s="8" t="s">
        <v>13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1.5" x14ac:dyDescent="0.15">
      <c r="A135" s="7">
        <v>1843</v>
      </c>
      <c r="B135" s="7">
        <f t="shared" si="0"/>
        <v>11100110011</v>
      </c>
      <c r="C135" s="7" t="str">
        <f t="shared" si="1"/>
        <v>733</v>
      </c>
      <c r="D135" s="8" t="str">
        <f t="shared" si="2"/>
        <v>fp16</v>
      </c>
      <c r="E135" s="8"/>
      <c r="F135" s="8"/>
      <c r="G135" s="8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1.5" x14ac:dyDescent="0.15">
      <c r="A136" s="7">
        <v>1844</v>
      </c>
      <c r="B136" s="7">
        <f t="shared" si="0"/>
        <v>11100110100</v>
      </c>
      <c r="C136" s="7" t="str">
        <f t="shared" si="1"/>
        <v>734</v>
      </c>
      <c r="D136" s="8" t="str">
        <f t="shared" si="2"/>
        <v>fp16</v>
      </c>
      <c r="E136" s="8" t="s">
        <v>112</v>
      </c>
      <c r="F136" s="8" t="s">
        <v>106</v>
      </c>
      <c r="G136" s="8" t="s">
        <v>102</v>
      </c>
      <c r="H136" s="7">
        <v>0</v>
      </c>
      <c r="I136" s="8" t="s">
        <v>13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1.5" x14ac:dyDescent="0.15">
      <c r="A137" s="7">
        <v>1845</v>
      </c>
      <c r="B137" s="7">
        <f t="shared" si="0"/>
        <v>11100110101</v>
      </c>
      <c r="C137" s="7" t="str">
        <f t="shared" si="1"/>
        <v>735</v>
      </c>
      <c r="D137" s="8" t="str">
        <f t="shared" si="2"/>
        <v>fp16</v>
      </c>
      <c r="E137" s="8"/>
      <c r="F137" s="8"/>
      <c r="G137" s="8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1.5" x14ac:dyDescent="0.15">
      <c r="A138" s="7">
        <v>1846</v>
      </c>
      <c r="B138" s="7">
        <f t="shared" si="0"/>
        <v>11100110110</v>
      </c>
      <c r="C138" s="7" t="str">
        <f t="shared" si="1"/>
        <v>736</v>
      </c>
      <c r="D138" s="8" t="str">
        <f t="shared" si="2"/>
        <v>fp16</v>
      </c>
      <c r="E138" s="8" t="s">
        <v>113</v>
      </c>
      <c r="F138" s="8" t="s">
        <v>108</v>
      </c>
      <c r="G138" s="8" t="s">
        <v>102</v>
      </c>
      <c r="H138" s="7">
        <v>0</v>
      </c>
      <c r="I138" s="8" t="s">
        <v>13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1.5" x14ac:dyDescent="0.15">
      <c r="A139" s="7">
        <v>1847</v>
      </c>
      <c r="B139" s="7">
        <f t="shared" si="0"/>
        <v>11100110111</v>
      </c>
      <c r="C139" s="7" t="str">
        <f t="shared" si="1"/>
        <v>737</v>
      </c>
      <c r="D139" s="8" t="str">
        <f t="shared" si="2"/>
        <v>fp16</v>
      </c>
      <c r="E139" s="8"/>
      <c r="F139" s="8"/>
      <c r="G139" s="8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1.5" x14ac:dyDescent="0.15">
      <c r="A140" s="7">
        <v>1848</v>
      </c>
      <c r="B140" s="7">
        <f t="shared" si="0"/>
        <v>11100111000</v>
      </c>
      <c r="C140" s="7" t="str">
        <f t="shared" si="1"/>
        <v>738</v>
      </c>
      <c r="D140" s="8" t="str">
        <f t="shared" si="2"/>
        <v>fp16</v>
      </c>
      <c r="E140" s="8"/>
      <c r="F140" s="8" t="s">
        <v>114</v>
      </c>
      <c r="G140" s="8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1.5" x14ac:dyDescent="0.15">
      <c r="A141" s="7">
        <v>1849</v>
      </c>
      <c r="B141" s="7">
        <f t="shared" si="0"/>
        <v>11100111001</v>
      </c>
      <c r="C141" s="7" t="str">
        <f t="shared" si="1"/>
        <v>739</v>
      </c>
      <c r="D141" s="8" t="str">
        <f t="shared" si="2"/>
        <v>fp16</v>
      </c>
      <c r="E141" s="8"/>
      <c r="F141" s="8"/>
      <c r="G141" s="8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1.5" x14ac:dyDescent="0.15">
      <c r="A142" s="7">
        <v>1850</v>
      </c>
      <c r="B142" s="7">
        <f t="shared" si="0"/>
        <v>11100111010</v>
      </c>
      <c r="C142" s="7" t="str">
        <f t="shared" si="1"/>
        <v>73A</v>
      </c>
      <c r="D142" s="8" t="str">
        <f t="shared" si="2"/>
        <v>fp16</v>
      </c>
      <c r="E142" s="8"/>
      <c r="F142" s="8"/>
      <c r="G142" s="8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1.5" x14ac:dyDescent="0.15">
      <c r="A143" s="7">
        <v>1851</v>
      </c>
      <c r="B143" s="7">
        <f t="shared" si="0"/>
        <v>11100111011</v>
      </c>
      <c r="C143" s="7" t="str">
        <f t="shared" si="1"/>
        <v>73B</v>
      </c>
      <c r="D143" s="8" t="str">
        <f t="shared" si="2"/>
        <v>fp16</v>
      </c>
      <c r="E143" s="8"/>
      <c r="F143" s="8"/>
      <c r="G143" s="8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1.5" x14ac:dyDescent="0.15">
      <c r="A144" s="7">
        <v>1852</v>
      </c>
      <c r="B144" s="7">
        <f t="shared" si="0"/>
        <v>11100111100</v>
      </c>
      <c r="C144" s="7" t="str">
        <f t="shared" si="1"/>
        <v>73C</v>
      </c>
      <c r="D144" s="8" t="str">
        <f t="shared" si="2"/>
        <v>fp16</v>
      </c>
      <c r="E144" s="8"/>
      <c r="F144" s="8"/>
      <c r="G144" s="8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1.5" x14ac:dyDescent="0.15">
      <c r="A145" s="7">
        <v>1853</v>
      </c>
      <c r="B145" s="7">
        <f t="shared" si="0"/>
        <v>11100111101</v>
      </c>
      <c r="C145" s="7" t="str">
        <f t="shared" si="1"/>
        <v>73D</v>
      </c>
      <c r="D145" s="8" t="str">
        <f t="shared" si="2"/>
        <v>fp16</v>
      </c>
      <c r="E145" s="8"/>
      <c r="F145" s="8"/>
      <c r="G145" s="8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1.5" x14ac:dyDescent="0.15">
      <c r="A146" s="7">
        <v>1854</v>
      </c>
      <c r="B146" s="7">
        <f t="shared" si="0"/>
        <v>11100111110</v>
      </c>
      <c r="C146" s="7" t="str">
        <f t="shared" si="1"/>
        <v>73E</v>
      </c>
      <c r="D146" s="8" t="str">
        <f t="shared" si="2"/>
        <v>fp16</v>
      </c>
      <c r="E146" s="8"/>
      <c r="F146" s="8"/>
      <c r="G146" s="8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1.5" x14ac:dyDescent="0.15">
      <c r="A147" s="7">
        <v>1855</v>
      </c>
      <c r="B147" s="7">
        <f t="shared" si="0"/>
        <v>11100111111</v>
      </c>
      <c r="C147" s="7" t="str">
        <f t="shared" si="1"/>
        <v>73F</v>
      </c>
      <c r="D147" s="8" t="str">
        <f t="shared" si="2"/>
        <v>fp16</v>
      </c>
      <c r="E147" s="8"/>
      <c r="F147" s="8"/>
      <c r="G147" s="8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1.5" x14ac:dyDescent="0.15">
      <c r="A148" s="7">
        <v>1856</v>
      </c>
      <c r="B148" s="7">
        <f t="shared" si="0"/>
        <v>11101000000</v>
      </c>
      <c r="C148" s="7" t="str">
        <f t="shared" si="1"/>
        <v>740</v>
      </c>
      <c r="D148" s="8" t="str">
        <f t="shared" si="2"/>
        <v>fp16</v>
      </c>
      <c r="E148" s="8" t="s">
        <v>115</v>
      </c>
      <c r="F148" s="8" t="s">
        <v>101</v>
      </c>
      <c r="G148" s="8" t="s">
        <v>116</v>
      </c>
      <c r="H148" s="7">
        <v>0</v>
      </c>
      <c r="I148" s="8" t="s">
        <v>13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1.5" x14ac:dyDescent="0.15">
      <c r="A149" s="7">
        <v>1857</v>
      </c>
      <c r="B149" s="7">
        <f t="shared" si="0"/>
        <v>11101000001</v>
      </c>
      <c r="C149" s="7" t="str">
        <f t="shared" si="1"/>
        <v>741</v>
      </c>
      <c r="D149" s="8" t="str">
        <f t="shared" si="2"/>
        <v>fp16</v>
      </c>
      <c r="E149" s="8"/>
      <c r="F149" s="8"/>
      <c r="G149" s="8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1.5" x14ac:dyDescent="0.15">
      <c r="A150" s="7">
        <v>1858</v>
      </c>
      <c r="B150" s="7">
        <f t="shared" si="0"/>
        <v>11101000010</v>
      </c>
      <c r="C150" s="7" t="str">
        <f t="shared" si="1"/>
        <v>742</v>
      </c>
      <c r="D150" s="8" t="str">
        <f t="shared" si="2"/>
        <v>fp16</v>
      </c>
      <c r="E150" s="8" t="s">
        <v>117</v>
      </c>
      <c r="F150" s="8" t="s">
        <v>104</v>
      </c>
      <c r="G150" s="8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1.5" x14ac:dyDescent="0.15">
      <c r="A151" s="7">
        <v>1859</v>
      </c>
      <c r="B151" s="7">
        <f t="shared" si="0"/>
        <v>11101000011</v>
      </c>
      <c r="C151" s="7" t="str">
        <f t="shared" si="1"/>
        <v>743</v>
      </c>
      <c r="D151" s="8" t="str">
        <f t="shared" si="2"/>
        <v>fp16</v>
      </c>
      <c r="E151" s="8"/>
      <c r="F151" s="8"/>
      <c r="G151" s="8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1.5" x14ac:dyDescent="0.15">
      <c r="A152" s="7">
        <v>1860</v>
      </c>
      <c r="B152" s="7">
        <f t="shared" si="0"/>
        <v>11101000100</v>
      </c>
      <c r="C152" s="7" t="str">
        <f t="shared" si="1"/>
        <v>744</v>
      </c>
      <c r="D152" s="8" t="str">
        <f t="shared" si="2"/>
        <v>fp16</v>
      </c>
      <c r="E152" s="8" t="s">
        <v>118</v>
      </c>
      <c r="F152" s="8" t="s">
        <v>106</v>
      </c>
      <c r="G152" s="8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1.5" x14ac:dyDescent="0.15">
      <c r="A153" s="7">
        <v>1861</v>
      </c>
      <c r="B153" s="7">
        <f t="shared" si="0"/>
        <v>11101000101</v>
      </c>
      <c r="C153" s="7" t="str">
        <f t="shared" si="1"/>
        <v>745</v>
      </c>
      <c r="D153" s="8" t="str">
        <f t="shared" si="2"/>
        <v>fp16</v>
      </c>
      <c r="E153" s="8"/>
      <c r="F153" s="8"/>
      <c r="G153" s="8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1.5" x14ac:dyDescent="0.15">
      <c r="A154" s="7">
        <v>1862</v>
      </c>
      <c r="B154" s="7">
        <f t="shared" si="0"/>
        <v>11101000110</v>
      </c>
      <c r="C154" s="7" t="str">
        <f t="shared" si="1"/>
        <v>746</v>
      </c>
      <c r="D154" s="8" t="str">
        <f t="shared" si="2"/>
        <v>fp16</v>
      </c>
      <c r="E154" s="8" t="s">
        <v>119</v>
      </c>
      <c r="F154" s="8" t="s">
        <v>108</v>
      </c>
      <c r="G154" s="8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1.5" x14ac:dyDescent="0.15">
      <c r="A155" s="7">
        <v>1863</v>
      </c>
      <c r="B155" s="7">
        <f t="shared" si="0"/>
        <v>11101000111</v>
      </c>
      <c r="C155" s="7" t="str">
        <f t="shared" si="1"/>
        <v>747</v>
      </c>
      <c r="D155" s="8" t="str">
        <f t="shared" si="2"/>
        <v>fp16</v>
      </c>
      <c r="E155" s="8"/>
      <c r="F155" s="8"/>
      <c r="G155" s="8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1.5" x14ac:dyDescent="0.15">
      <c r="A156" s="7">
        <v>1864</v>
      </c>
      <c r="B156" s="7">
        <f t="shared" si="0"/>
        <v>11101001000</v>
      </c>
      <c r="C156" s="7" t="str">
        <f t="shared" si="1"/>
        <v>748</v>
      </c>
      <c r="D156" s="8" t="str">
        <f t="shared" si="2"/>
        <v>fp16</v>
      </c>
      <c r="E156" s="8"/>
      <c r="F156" s="8"/>
      <c r="G156" s="8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1.5" x14ac:dyDescent="0.15">
      <c r="A157" s="7">
        <v>1865</v>
      </c>
      <c r="B157" s="7">
        <f t="shared" si="0"/>
        <v>11101001001</v>
      </c>
      <c r="C157" s="7" t="str">
        <f t="shared" si="1"/>
        <v>749</v>
      </c>
      <c r="D157" s="8" t="str">
        <f t="shared" si="2"/>
        <v>fp16</v>
      </c>
      <c r="E157" s="8"/>
      <c r="F157" s="8"/>
      <c r="G157" s="8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1.5" x14ac:dyDescent="0.15">
      <c r="A158" s="7">
        <v>1866</v>
      </c>
      <c r="B158" s="7">
        <f t="shared" si="0"/>
        <v>11101001010</v>
      </c>
      <c r="C158" s="7" t="str">
        <f t="shared" si="1"/>
        <v>74A</v>
      </c>
      <c r="D158" s="8" t="str">
        <f t="shared" si="2"/>
        <v>fp16</v>
      </c>
      <c r="E158" s="8"/>
      <c r="F158" s="8"/>
      <c r="G158" s="8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1.5" x14ac:dyDescent="0.15">
      <c r="A159" s="7">
        <v>1867</v>
      </c>
      <c r="B159" s="7">
        <f t="shared" si="0"/>
        <v>11101001011</v>
      </c>
      <c r="C159" s="7" t="str">
        <f t="shared" si="1"/>
        <v>74B</v>
      </c>
      <c r="D159" s="8" t="str">
        <f t="shared" si="2"/>
        <v>fp16</v>
      </c>
      <c r="E159" s="8"/>
      <c r="F159" s="8"/>
      <c r="G159" s="8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1.5" x14ac:dyDescent="0.15">
      <c r="A160" s="7">
        <v>1868</v>
      </c>
      <c r="B160" s="7">
        <f t="shared" si="0"/>
        <v>11101001100</v>
      </c>
      <c r="C160" s="7" t="str">
        <f t="shared" si="1"/>
        <v>74C</v>
      </c>
      <c r="D160" s="8" t="str">
        <f t="shared" si="2"/>
        <v>fp16</v>
      </c>
      <c r="E160" s="8"/>
      <c r="F160" s="8"/>
      <c r="G160" s="8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1.5" x14ac:dyDescent="0.15">
      <c r="A161" s="7">
        <v>1869</v>
      </c>
      <c r="B161" s="7">
        <f t="shared" si="0"/>
        <v>11101001101</v>
      </c>
      <c r="C161" s="7" t="str">
        <f t="shared" si="1"/>
        <v>74D</v>
      </c>
      <c r="D161" s="8" t="str">
        <f t="shared" si="2"/>
        <v>fp16</v>
      </c>
      <c r="E161" s="8"/>
      <c r="F161" s="8"/>
      <c r="G161" s="8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1.5" x14ac:dyDescent="0.15">
      <c r="A162" s="7">
        <v>1870</v>
      </c>
      <c r="B162" s="7">
        <f t="shared" si="0"/>
        <v>11101001110</v>
      </c>
      <c r="C162" s="7" t="str">
        <f t="shared" si="1"/>
        <v>74E</v>
      </c>
      <c r="D162" s="8" t="str">
        <f t="shared" si="2"/>
        <v>fp16</v>
      </c>
      <c r="E162" s="8"/>
      <c r="F162" s="8"/>
      <c r="G162" s="8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1.5" x14ac:dyDescent="0.15">
      <c r="A163" s="7">
        <v>1871</v>
      </c>
      <c r="B163" s="7">
        <f t="shared" si="0"/>
        <v>11101001111</v>
      </c>
      <c r="C163" s="7" t="str">
        <f t="shared" si="1"/>
        <v>74F</v>
      </c>
      <c r="D163" s="8" t="str">
        <f t="shared" si="2"/>
        <v>fp16</v>
      </c>
      <c r="E163" s="8"/>
      <c r="F163" s="8"/>
      <c r="G163" s="8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1.5" x14ac:dyDescent="0.15">
      <c r="A164" s="8"/>
      <c r="B164" s="8"/>
      <c r="C164" s="8"/>
      <c r="D164" s="8"/>
      <c r="E164" s="8"/>
      <c r="F164" s="8"/>
      <c r="G164" s="8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1.5" x14ac:dyDescent="0.15">
      <c r="A165" s="8"/>
      <c r="B165" s="8"/>
      <c r="C165" s="8"/>
      <c r="D165" s="8"/>
      <c r="E165" s="8"/>
      <c r="F165" s="8"/>
      <c r="G165" s="8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1.5" x14ac:dyDescent="0.15">
      <c r="A166" s="8"/>
      <c r="B166" s="8"/>
      <c r="C166" s="8"/>
      <c r="D166" s="8"/>
      <c r="E166" s="8"/>
      <c r="F166" s="8"/>
      <c r="G166" s="8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1.5" x14ac:dyDescent="0.15">
      <c r="A167" s="8"/>
      <c r="B167" s="8"/>
      <c r="C167" s="8"/>
      <c r="D167" s="8"/>
      <c r="E167" s="8"/>
      <c r="F167" s="8"/>
      <c r="G167" s="8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1.5" x14ac:dyDescent="0.15">
      <c r="A168" s="7">
        <v>2047</v>
      </c>
      <c r="B168" s="7">
        <f>DEC2BIN(A168/512)*1000000000+DEC2BIN(MOD(A168,512))</f>
        <v>11111111111</v>
      </c>
      <c r="C168" s="7" t="str">
        <f>DEC2HEX(A168)</f>
        <v>7FF</v>
      </c>
      <c r="D168" s="8"/>
      <c r="E168" s="8"/>
      <c r="F168" s="8"/>
      <c r="G168" s="8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1.5" x14ac:dyDescent="0.15">
      <c r="A169" s="8"/>
      <c r="B169" s="8"/>
      <c r="C169" s="8"/>
      <c r="D169" s="8"/>
      <c r="E169" s="8"/>
      <c r="F169" s="8"/>
      <c r="G169" s="8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1.5" x14ac:dyDescent="0.15">
      <c r="A170" s="8"/>
      <c r="B170" s="8"/>
      <c r="C170" s="8"/>
      <c r="D170" s="8"/>
      <c r="E170" s="8"/>
      <c r="F170" s="8"/>
      <c r="G170" s="8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1.5" x14ac:dyDescent="0.15">
      <c r="A171" s="8"/>
      <c r="B171" s="8"/>
      <c r="C171" s="8"/>
      <c r="D171" s="8"/>
      <c r="E171" s="8"/>
      <c r="F171" s="8"/>
      <c r="G171" s="8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1.5" x14ac:dyDescent="0.15">
      <c r="A172" s="8"/>
      <c r="B172" s="8"/>
      <c r="C172" s="8"/>
      <c r="D172" s="8"/>
      <c r="E172" s="8"/>
      <c r="F172" s="8"/>
      <c r="G172" s="8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1.5" x14ac:dyDescent="0.15">
      <c r="A173" s="8"/>
      <c r="B173" s="8"/>
      <c r="C173" s="8"/>
      <c r="D173" s="8"/>
      <c r="E173" s="8"/>
      <c r="F173" s="8"/>
      <c r="G173" s="8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1.5" x14ac:dyDescent="0.15">
      <c r="A174" s="8"/>
      <c r="B174" s="8"/>
      <c r="C174" s="8"/>
      <c r="D174" s="8"/>
      <c r="E174" s="8"/>
      <c r="F174" s="8"/>
      <c r="G174" s="8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1.5" x14ac:dyDescent="0.15">
      <c r="A175" s="8"/>
      <c r="B175" s="8"/>
      <c r="C175" s="8"/>
      <c r="D175" s="8"/>
      <c r="E175" s="8"/>
      <c r="F175" s="8"/>
      <c r="G175" s="8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1.5" x14ac:dyDescent="0.15">
      <c r="A176" s="8"/>
      <c r="B176" s="8"/>
      <c r="C176" s="8"/>
      <c r="D176" s="8"/>
      <c r="E176" s="8"/>
      <c r="F176" s="8"/>
      <c r="G176" s="8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1.5" x14ac:dyDescent="0.15">
      <c r="A177" s="8"/>
      <c r="B177" s="8"/>
      <c r="C177" s="8"/>
      <c r="D177" s="8"/>
      <c r="E177" s="8"/>
      <c r="F177" s="8"/>
      <c r="G177" s="8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1.5" x14ac:dyDescent="0.15">
      <c r="A178" s="8"/>
      <c r="B178" s="8"/>
      <c r="C178" s="8"/>
      <c r="D178" s="8"/>
      <c r="E178" s="8"/>
      <c r="F178" s="8"/>
      <c r="G178" s="8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1.5" x14ac:dyDescent="0.15">
      <c r="A179" s="8"/>
      <c r="B179" s="8"/>
      <c r="C179" s="8"/>
      <c r="D179" s="8"/>
      <c r="E179" s="8"/>
      <c r="F179" s="8"/>
      <c r="G179" s="8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1.5" x14ac:dyDescent="0.15">
      <c r="A180" s="8"/>
      <c r="B180" s="8"/>
      <c r="C180" s="8"/>
      <c r="D180" s="8"/>
      <c r="E180" s="8"/>
      <c r="F180" s="8"/>
      <c r="G180" s="8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1.5" x14ac:dyDescent="0.15">
      <c r="A181" s="8"/>
      <c r="B181" s="8"/>
      <c r="C181" s="8"/>
      <c r="D181" s="8"/>
      <c r="E181" s="8"/>
      <c r="F181" s="8"/>
      <c r="G181" s="8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1.5" x14ac:dyDescent="0.15">
      <c r="A182" s="8"/>
      <c r="B182" s="8"/>
      <c r="C182" s="8"/>
      <c r="D182" s="8"/>
      <c r="E182" s="8"/>
      <c r="F182" s="8"/>
      <c r="G182" s="8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1.5" x14ac:dyDescent="0.15">
      <c r="A183" s="8"/>
      <c r="B183" s="8"/>
      <c r="C183" s="8"/>
      <c r="D183" s="8"/>
      <c r="E183" s="8"/>
      <c r="F183" s="8"/>
      <c r="G183" s="8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1.5" x14ac:dyDescent="0.15">
      <c r="A184" s="8"/>
      <c r="B184" s="8"/>
      <c r="C184" s="8"/>
      <c r="D184" s="8"/>
      <c r="E184" s="8"/>
      <c r="F184" s="8"/>
      <c r="G184" s="8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1.5" x14ac:dyDescent="0.15">
      <c r="A185" s="8"/>
      <c r="B185" s="8"/>
      <c r="C185" s="8"/>
      <c r="D185" s="8"/>
      <c r="E185" s="8"/>
      <c r="F185" s="8"/>
      <c r="G185" s="8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1.5" x14ac:dyDescent="0.15">
      <c r="A186" s="8"/>
      <c r="B186" s="8"/>
      <c r="C186" s="8"/>
      <c r="D186" s="8"/>
      <c r="E186" s="8"/>
      <c r="F186" s="8"/>
      <c r="G186" s="8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1.5" x14ac:dyDescent="0.15">
      <c r="A187" s="8"/>
      <c r="B187" s="8"/>
      <c r="C187" s="8"/>
      <c r="D187" s="8"/>
      <c r="E187" s="8"/>
      <c r="F187" s="8"/>
      <c r="G187" s="8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1.5" x14ac:dyDescent="0.15">
      <c r="A188" s="8"/>
      <c r="B188" s="8"/>
      <c r="C188" s="8"/>
      <c r="D188" s="8"/>
      <c r="E188" s="8"/>
      <c r="F188" s="8"/>
      <c r="G188" s="8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1.5" x14ac:dyDescent="0.15">
      <c r="A189" s="8"/>
      <c r="B189" s="8"/>
      <c r="C189" s="8"/>
      <c r="D189" s="8"/>
      <c r="E189" s="8"/>
      <c r="F189" s="8"/>
      <c r="G189" s="8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1.5" x14ac:dyDescent="0.15">
      <c r="A190" s="8"/>
      <c r="B190" s="8"/>
      <c r="C190" s="8"/>
      <c r="D190" s="8"/>
      <c r="E190" s="8"/>
      <c r="F190" s="8"/>
      <c r="G190" s="8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1.5" x14ac:dyDescent="0.15">
      <c r="A191" s="8"/>
      <c r="B191" s="8"/>
      <c r="C191" s="8"/>
      <c r="D191" s="8"/>
      <c r="E191" s="8"/>
      <c r="F191" s="8"/>
      <c r="G191" s="8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1.5" x14ac:dyDescent="0.15">
      <c r="A192" s="8"/>
      <c r="B192" s="8"/>
      <c r="C192" s="8"/>
      <c r="D192" s="8"/>
      <c r="E192" s="8"/>
      <c r="F192" s="8"/>
      <c r="G192" s="8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1.5" x14ac:dyDescent="0.15">
      <c r="A193" s="8"/>
      <c r="B193" s="8"/>
      <c r="C193" s="8"/>
      <c r="D193" s="8"/>
      <c r="E193" s="8"/>
      <c r="F193" s="8"/>
      <c r="G193" s="8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1.5" x14ac:dyDescent="0.15">
      <c r="A194" s="8"/>
      <c r="B194" s="8"/>
      <c r="C194" s="8"/>
      <c r="D194" s="8"/>
      <c r="E194" s="8"/>
      <c r="F194" s="8"/>
      <c r="G194" s="8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1.5" x14ac:dyDescent="0.15">
      <c r="A195" s="8"/>
      <c r="B195" s="8"/>
      <c r="C195" s="8"/>
      <c r="D195" s="8"/>
      <c r="E195" s="8"/>
      <c r="F195" s="8"/>
      <c r="G195" s="8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1.5" x14ac:dyDescent="0.15">
      <c r="A196" s="8"/>
      <c r="B196" s="8"/>
      <c r="C196" s="8"/>
      <c r="D196" s="8"/>
      <c r="E196" s="8"/>
      <c r="F196" s="8"/>
      <c r="G196" s="8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1.5" x14ac:dyDescent="0.15">
      <c r="A197" s="8"/>
      <c r="B197" s="8"/>
      <c r="C197" s="8"/>
      <c r="D197" s="8"/>
      <c r="E197" s="8"/>
      <c r="F197" s="8"/>
      <c r="G197" s="8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1.5" x14ac:dyDescent="0.15">
      <c r="A198" s="8"/>
      <c r="B198" s="8"/>
      <c r="C198" s="8"/>
      <c r="D198" s="8"/>
      <c r="E198" s="8"/>
      <c r="F198" s="8"/>
      <c r="G198" s="8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1.5" x14ac:dyDescent="0.15">
      <c r="A199" s="8"/>
      <c r="B199" s="8"/>
      <c r="C199" s="8"/>
      <c r="D199" s="8"/>
      <c r="E199" s="8"/>
      <c r="F199" s="8"/>
      <c r="G199" s="8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1.5" x14ac:dyDescent="0.15">
      <c r="A200" s="8"/>
      <c r="B200" s="8"/>
      <c r="C200" s="8"/>
      <c r="D200" s="8"/>
      <c r="E200" s="8"/>
      <c r="F200" s="8"/>
      <c r="G200" s="8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1.5" x14ac:dyDescent="0.15">
      <c r="A201" s="8"/>
      <c r="B201" s="8"/>
      <c r="C201" s="8"/>
      <c r="D201" s="8"/>
      <c r="E201" s="8"/>
      <c r="F201" s="8"/>
      <c r="G201" s="8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1.5" x14ac:dyDescent="0.15">
      <c r="A202" s="8"/>
      <c r="B202" s="8"/>
      <c r="C202" s="8"/>
      <c r="D202" s="8"/>
      <c r="E202" s="8"/>
      <c r="F202" s="8"/>
      <c r="G202" s="8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1.5" x14ac:dyDescent="0.15">
      <c r="A203" s="8"/>
      <c r="B203" s="8"/>
      <c r="C203" s="8"/>
      <c r="D203" s="8"/>
      <c r="E203" s="8"/>
      <c r="F203" s="8"/>
      <c r="G203" s="8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1.5" x14ac:dyDescent="0.15">
      <c r="A204" s="8"/>
      <c r="B204" s="8"/>
      <c r="C204" s="8"/>
      <c r="D204" s="8"/>
      <c r="E204" s="8"/>
      <c r="F204" s="8"/>
      <c r="G204" s="8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1.5" x14ac:dyDescent="0.15">
      <c r="A205" s="8"/>
      <c r="B205" s="8"/>
      <c r="C205" s="8"/>
      <c r="D205" s="8"/>
      <c r="E205" s="8"/>
      <c r="F205" s="8"/>
      <c r="G205" s="8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1.5" x14ac:dyDescent="0.15">
      <c r="A206" s="8"/>
      <c r="B206" s="8"/>
      <c r="C206" s="8"/>
      <c r="D206" s="8"/>
      <c r="E206" s="8"/>
      <c r="F206" s="8"/>
      <c r="G206" s="8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1.5" x14ac:dyDescent="0.15">
      <c r="A207" s="8"/>
      <c r="B207" s="8"/>
      <c r="C207" s="8"/>
      <c r="D207" s="8"/>
      <c r="E207" s="8"/>
      <c r="F207" s="8"/>
      <c r="G207" s="8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1.5" x14ac:dyDescent="0.15">
      <c r="A208" s="8"/>
      <c r="B208" s="8"/>
      <c r="C208" s="8"/>
      <c r="D208" s="8"/>
      <c r="E208" s="8"/>
      <c r="F208" s="8"/>
      <c r="G208" s="8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1.5" x14ac:dyDescent="0.15">
      <c r="A209" s="8"/>
      <c r="B209" s="8"/>
      <c r="C209" s="8"/>
      <c r="D209" s="8"/>
      <c r="E209" s="8"/>
      <c r="F209" s="8"/>
      <c r="G209" s="8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1.5" x14ac:dyDescent="0.15">
      <c r="A210" s="8"/>
      <c r="B210" s="8"/>
      <c r="C210" s="8"/>
      <c r="D210" s="8"/>
      <c r="E210" s="8"/>
      <c r="F210" s="8"/>
      <c r="G210" s="8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1.5" x14ac:dyDescent="0.15">
      <c r="A211" s="8"/>
      <c r="B211" s="8"/>
      <c r="C211" s="8"/>
      <c r="D211" s="8"/>
      <c r="E211" s="8"/>
      <c r="F211" s="8"/>
      <c r="G211" s="8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1.5" x14ac:dyDescent="0.15">
      <c r="A212" s="8"/>
      <c r="B212" s="8"/>
      <c r="C212" s="8"/>
      <c r="D212" s="8"/>
      <c r="E212" s="8"/>
      <c r="F212" s="8"/>
      <c r="G212" s="8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1.5" x14ac:dyDescent="0.15">
      <c r="A213" s="8"/>
      <c r="B213" s="8"/>
      <c r="C213" s="8"/>
      <c r="D213" s="8"/>
      <c r="E213" s="8"/>
      <c r="F213" s="8"/>
      <c r="G213" s="8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1.5" x14ac:dyDescent="0.15">
      <c r="A214" s="8"/>
      <c r="B214" s="8"/>
      <c r="C214" s="8"/>
      <c r="D214" s="8"/>
      <c r="E214" s="8"/>
      <c r="F214" s="8"/>
      <c r="G214" s="8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1.5" x14ac:dyDescent="0.15">
      <c r="A215" s="8"/>
      <c r="B215" s="8"/>
      <c r="C215" s="8"/>
      <c r="D215" s="8"/>
      <c r="E215" s="8"/>
      <c r="F215" s="8"/>
      <c r="G215" s="8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1.5" x14ac:dyDescent="0.15">
      <c r="A216" s="8"/>
      <c r="B216" s="8"/>
      <c r="C216" s="8"/>
      <c r="D216" s="8"/>
      <c r="E216" s="8"/>
      <c r="F216" s="8"/>
      <c r="G216" s="8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1.5" x14ac:dyDescent="0.15">
      <c r="A217" s="8"/>
      <c r="B217" s="8"/>
      <c r="C217" s="8"/>
      <c r="D217" s="8"/>
      <c r="E217" s="8"/>
      <c r="F217" s="8"/>
      <c r="G217" s="8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1.5" x14ac:dyDescent="0.15">
      <c r="A218" s="8"/>
      <c r="B218" s="8"/>
      <c r="C218" s="8"/>
      <c r="D218" s="8"/>
      <c r="E218" s="8"/>
      <c r="F218" s="8"/>
      <c r="G218" s="8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1.5" x14ac:dyDescent="0.15">
      <c r="A219" s="8"/>
      <c r="B219" s="8"/>
      <c r="C219" s="8"/>
      <c r="D219" s="8"/>
      <c r="E219" s="8"/>
      <c r="F219" s="8"/>
      <c r="G219" s="8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1.5" x14ac:dyDescent="0.15">
      <c r="A220" s="8"/>
      <c r="B220" s="8"/>
      <c r="C220" s="8"/>
      <c r="D220" s="8"/>
      <c r="E220" s="8"/>
      <c r="F220" s="8"/>
      <c r="G220" s="8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1.5" x14ac:dyDescent="0.15">
      <c r="A221" s="8"/>
      <c r="B221" s="8"/>
      <c r="C221" s="8"/>
      <c r="D221" s="8"/>
      <c r="E221" s="8"/>
      <c r="F221" s="8"/>
      <c r="G221" s="8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11.5" x14ac:dyDescent="0.15">
      <c r="A222" s="8"/>
      <c r="B222" s="8"/>
      <c r="C222" s="8"/>
      <c r="D222" s="8"/>
      <c r="E222" s="8"/>
      <c r="F222" s="8"/>
      <c r="G222" s="8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ht="11.5" x14ac:dyDescent="0.15">
      <c r="A223" s="8"/>
      <c r="B223" s="8"/>
      <c r="C223" s="8"/>
      <c r="D223" s="8"/>
      <c r="E223" s="8"/>
      <c r="F223" s="8"/>
      <c r="G223" s="8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ht="11.5" x14ac:dyDescent="0.15">
      <c r="A224" s="8"/>
      <c r="B224" s="8"/>
      <c r="C224" s="8"/>
      <c r="D224" s="8"/>
      <c r="E224" s="8"/>
      <c r="F224" s="8"/>
      <c r="G224" s="8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ht="11.5" x14ac:dyDescent="0.15">
      <c r="A225" s="8"/>
      <c r="B225" s="8"/>
      <c r="C225" s="8"/>
      <c r="D225" s="8"/>
      <c r="E225" s="8"/>
      <c r="F225" s="8"/>
      <c r="G225" s="8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ht="11.5" x14ac:dyDescent="0.15">
      <c r="A226" s="8"/>
      <c r="B226" s="8"/>
      <c r="C226" s="8"/>
      <c r="D226" s="8"/>
      <c r="E226" s="8"/>
      <c r="F226" s="8"/>
      <c r="G226" s="8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ht="11.5" x14ac:dyDescent="0.15">
      <c r="A227" s="8"/>
      <c r="B227" s="8"/>
      <c r="C227" s="8"/>
      <c r="D227" s="8"/>
      <c r="E227" s="8"/>
      <c r="F227" s="8"/>
      <c r="G227" s="8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ht="11.5" x14ac:dyDescent="0.15">
      <c r="A228" s="8"/>
      <c r="B228" s="8"/>
      <c r="C228" s="8"/>
      <c r="D228" s="8"/>
      <c r="E228" s="8"/>
      <c r="F228" s="8"/>
      <c r="G228" s="8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11.5" x14ac:dyDescent="0.15">
      <c r="A229" s="8"/>
      <c r="B229" s="8"/>
      <c r="C229" s="8"/>
      <c r="D229" s="8"/>
      <c r="E229" s="8"/>
      <c r="F229" s="8"/>
      <c r="G229" s="8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11.5" x14ac:dyDescent="0.15">
      <c r="A230" s="8"/>
      <c r="B230" s="8"/>
      <c r="C230" s="8"/>
      <c r="D230" s="8"/>
      <c r="E230" s="8"/>
      <c r="F230" s="8"/>
      <c r="G230" s="8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1.5" x14ac:dyDescent="0.15">
      <c r="A231" s="8"/>
      <c r="B231" s="8"/>
      <c r="C231" s="8"/>
      <c r="D231" s="8"/>
      <c r="E231" s="8"/>
      <c r="F231" s="8"/>
      <c r="G231" s="8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11.5" x14ac:dyDescent="0.15">
      <c r="A232" s="8"/>
      <c r="B232" s="8"/>
      <c r="C232" s="8"/>
      <c r="D232" s="8"/>
      <c r="E232" s="8"/>
      <c r="F232" s="8"/>
      <c r="G232" s="8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ht="11.5" x14ac:dyDescent="0.15">
      <c r="A233" s="8"/>
      <c r="B233" s="8"/>
      <c r="C233" s="8"/>
      <c r="D233" s="8"/>
      <c r="E233" s="8"/>
      <c r="F233" s="8"/>
      <c r="G233" s="8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ht="11.5" x14ac:dyDescent="0.15">
      <c r="A234" s="8"/>
      <c r="B234" s="8"/>
      <c r="C234" s="8"/>
      <c r="D234" s="8"/>
      <c r="E234" s="8"/>
      <c r="F234" s="8"/>
      <c r="G234" s="8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ht="11.5" x14ac:dyDescent="0.15">
      <c r="A235" s="8"/>
      <c r="B235" s="8"/>
      <c r="C235" s="8"/>
      <c r="D235" s="8"/>
      <c r="E235" s="8"/>
      <c r="F235" s="8"/>
      <c r="G235" s="8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1.5" x14ac:dyDescent="0.15">
      <c r="A236" s="8"/>
      <c r="B236" s="8"/>
      <c r="C236" s="8"/>
      <c r="D236" s="8"/>
      <c r="E236" s="8"/>
      <c r="F236" s="8"/>
      <c r="G236" s="8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1.5" x14ac:dyDescent="0.15">
      <c r="A237" s="8"/>
      <c r="B237" s="8"/>
      <c r="C237" s="8"/>
      <c r="D237" s="8"/>
      <c r="E237" s="8"/>
      <c r="F237" s="8"/>
      <c r="G237" s="8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11.5" x14ac:dyDescent="0.15">
      <c r="A238" s="8"/>
      <c r="B238" s="8"/>
      <c r="C238" s="8"/>
      <c r="D238" s="8"/>
      <c r="E238" s="8"/>
      <c r="F238" s="8"/>
      <c r="G238" s="8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11.5" x14ac:dyDescent="0.15">
      <c r="A239" s="8"/>
      <c r="B239" s="8"/>
      <c r="C239" s="8"/>
      <c r="D239" s="8"/>
      <c r="E239" s="8"/>
      <c r="F239" s="8"/>
      <c r="G239" s="8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11.5" x14ac:dyDescent="0.15">
      <c r="A240" s="8"/>
      <c r="B240" s="8"/>
      <c r="C240" s="8"/>
      <c r="D240" s="8"/>
      <c r="E240" s="8"/>
      <c r="F240" s="8"/>
      <c r="G240" s="8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11.5" x14ac:dyDescent="0.15">
      <c r="A241" s="8"/>
      <c r="B241" s="8"/>
      <c r="C241" s="8"/>
      <c r="D241" s="8"/>
      <c r="E241" s="8"/>
      <c r="F241" s="8"/>
      <c r="G241" s="8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11.5" x14ac:dyDescent="0.15">
      <c r="A242" s="8"/>
      <c r="B242" s="8"/>
      <c r="C242" s="8"/>
      <c r="D242" s="8"/>
      <c r="E242" s="8"/>
      <c r="F242" s="8"/>
      <c r="G242" s="8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11.5" x14ac:dyDescent="0.15">
      <c r="A243" s="8"/>
      <c r="B243" s="8"/>
      <c r="C243" s="8"/>
      <c r="D243" s="8"/>
      <c r="E243" s="8"/>
      <c r="F243" s="8"/>
      <c r="G243" s="8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1.5" x14ac:dyDescent="0.15">
      <c r="A244" s="8"/>
      <c r="B244" s="8"/>
      <c r="C244" s="8"/>
      <c r="D244" s="8"/>
      <c r="E244" s="8"/>
      <c r="F244" s="8"/>
      <c r="G244" s="8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1.5" x14ac:dyDescent="0.15">
      <c r="A245" s="8"/>
      <c r="B245" s="8"/>
      <c r="C245" s="8"/>
      <c r="D245" s="8"/>
      <c r="E245" s="8"/>
      <c r="F245" s="8"/>
      <c r="G245" s="8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1.5" x14ac:dyDescent="0.15">
      <c r="A246" s="8"/>
      <c r="B246" s="8"/>
      <c r="C246" s="8"/>
      <c r="D246" s="8"/>
      <c r="E246" s="8"/>
      <c r="F246" s="8"/>
      <c r="G246" s="8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1.5" x14ac:dyDescent="0.15">
      <c r="A247" s="8"/>
      <c r="B247" s="8"/>
      <c r="C247" s="8"/>
      <c r="D247" s="8"/>
      <c r="E247" s="8"/>
      <c r="F247" s="8"/>
      <c r="G247" s="8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1.5" x14ac:dyDescent="0.15">
      <c r="A248" s="8"/>
      <c r="B248" s="8"/>
      <c r="C248" s="8"/>
      <c r="D248" s="8"/>
      <c r="E248" s="8"/>
      <c r="F248" s="8"/>
      <c r="G248" s="8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1.5" x14ac:dyDescent="0.15">
      <c r="A249" s="8"/>
      <c r="B249" s="8"/>
      <c r="C249" s="8"/>
      <c r="D249" s="8"/>
      <c r="E249" s="8"/>
      <c r="F249" s="8"/>
      <c r="G249" s="8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1.5" x14ac:dyDescent="0.15">
      <c r="A250" s="8"/>
      <c r="B250" s="8"/>
      <c r="C250" s="8"/>
      <c r="D250" s="8"/>
      <c r="E250" s="8"/>
      <c r="F250" s="8"/>
      <c r="G250" s="8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1.5" x14ac:dyDescent="0.15">
      <c r="A251" s="8"/>
      <c r="B251" s="8"/>
      <c r="C251" s="8"/>
      <c r="D251" s="8"/>
      <c r="E251" s="8"/>
      <c r="F251" s="8"/>
      <c r="G251" s="8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1.5" x14ac:dyDescent="0.15">
      <c r="A252" s="8"/>
      <c r="B252" s="8"/>
      <c r="C252" s="8"/>
      <c r="D252" s="8"/>
      <c r="E252" s="8"/>
      <c r="F252" s="8"/>
      <c r="G252" s="8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1.5" x14ac:dyDescent="0.15">
      <c r="A253" s="8"/>
      <c r="B253" s="8"/>
      <c r="C253" s="8"/>
      <c r="D253" s="8"/>
      <c r="E253" s="8"/>
      <c r="F253" s="8"/>
      <c r="G253" s="8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1.5" x14ac:dyDescent="0.15">
      <c r="A254" s="8"/>
      <c r="B254" s="8"/>
      <c r="C254" s="8"/>
      <c r="D254" s="8"/>
      <c r="E254" s="8"/>
      <c r="F254" s="8"/>
      <c r="G254" s="8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1.5" x14ac:dyDescent="0.15">
      <c r="A255" s="8"/>
      <c r="B255" s="8"/>
      <c r="C255" s="8"/>
      <c r="D255" s="8"/>
      <c r="E255" s="8"/>
      <c r="F255" s="8"/>
      <c r="G255" s="8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1.5" x14ac:dyDescent="0.15">
      <c r="A256" s="8"/>
      <c r="B256" s="8"/>
      <c r="C256" s="8"/>
      <c r="D256" s="8"/>
      <c r="E256" s="8"/>
      <c r="F256" s="8"/>
      <c r="G256" s="8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1.5" x14ac:dyDescent="0.15">
      <c r="A257" s="8"/>
      <c r="B257" s="8"/>
      <c r="C257" s="8"/>
      <c r="D257" s="8"/>
      <c r="E257" s="8"/>
      <c r="F257" s="8"/>
      <c r="G257" s="8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1.5" x14ac:dyDescent="0.15">
      <c r="A258" s="8"/>
      <c r="B258" s="8"/>
      <c r="C258" s="8"/>
      <c r="D258" s="8"/>
      <c r="E258" s="8"/>
      <c r="F258" s="8"/>
      <c r="G258" s="8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1.5" x14ac:dyDescent="0.15">
      <c r="A259" s="8"/>
      <c r="B259" s="8"/>
      <c r="C259" s="8"/>
      <c r="D259" s="8"/>
      <c r="E259" s="8"/>
      <c r="F259" s="8"/>
      <c r="G259" s="8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1.5" x14ac:dyDescent="0.15">
      <c r="A260" s="8"/>
      <c r="B260" s="8"/>
      <c r="C260" s="8"/>
      <c r="D260" s="8"/>
      <c r="E260" s="8"/>
      <c r="F260" s="8"/>
      <c r="G260" s="8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1.5" x14ac:dyDescent="0.15">
      <c r="A261" s="8"/>
      <c r="B261" s="8"/>
      <c r="C261" s="8"/>
      <c r="D261" s="8"/>
      <c r="E261" s="8"/>
      <c r="F261" s="8"/>
      <c r="G261" s="8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1.5" x14ac:dyDescent="0.15">
      <c r="A262" s="8"/>
      <c r="B262" s="8"/>
      <c r="C262" s="8"/>
      <c r="D262" s="8"/>
      <c r="E262" s="8"/>
      <c r="F262" s="8"/>
      <c r="G262" s="8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1.5" x14ac:dyDescent="0.15">
      <c r="A263" s="8"/>
      <c r="B263" s="8"/>
      <c r="C263" s="8"/>
      <c r="D263" s="8"/>
      <c r="E263" s="8"/>
      <c r="F263" s="8"/>
      <c r="G263" s="8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1.5" x14ac:dyDescent="0.15">
      <c r="A264" s="8"/>
      <c r="B264" s="8"/>
      <c r="C264" s="8"/>
      <c r="D264" s="8"/>
      <c r="E264" s="8"/>
      <c r="F264" s="8"/>
      <c r="G264" s="8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1.5" x14ac:dyDescent="0.15">
      <c r="A265" s="8"/>
      <c r="B265" s="8"/>
      <c r="C265" s="8"/>
      <c r="D265" s="8"/>
      <c r="E265" s="8"/>
      <c r="F265" s="8"/>
      <c r="G265" s="8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1.5" x14ac:dyDescent="0.15">
      <c r="A266" s="8"/>
      <c r="B266" s="8"/>
      <c r="C266" s="8"/>
      <c r="D266" s="8"/>
      <c r="E266" s="8"/>
      <c r="F266" s="8"/>
      <c r="G266" s="8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1.5" x14ac:dyDescent="0.15">
      <c r="A267" s="8"/>
      <c r="B267" s="8"/>
      <c r="C267" s="8"/>
      <c r="D267" s="8"/>
      <c r="E267" s="8"/>
      <c r="F267" s="8"/>
      <c r="G267" s="8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1.5" x14ac:dyDescent="0.15">
      <c r="A268" s="8"/>
      <c r="B268" s="8"/>
      <c r="C268" s="8"/>
      <c r="D268" s="8"/>
      <c r="E268" s="8"/>
      <c r="F268" s="8"/>
      <c r="G268" s="8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1.5" x14ac:dyDescent="0.15">
      <c r="A269" s="8"/>
      <c r="B269" s="8"/>
      <c r="C269" s="8"/>
      <c r="D269" s="8"/>
      <c r="E269" s="8"/>
      <c r="F269" s="8"/>
      <c r="G269" s="8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1.5" x14ac:dyDescent="0.15">
      <c r="A270" s="8"/>
      <c r="B270" s="8"/>
      <c r="C270" s="8"/>
      <c r="D270" s="8"/>
      <c r="E270" s="8"/>
      <c r="F270" s="8"/>
      <c r="G270" s="8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1.5" x14ac:dyDescent="0.15">
      <c r="A271" s="8"/>
      <c r="B271" s="8"/>
      <c r="C271" s="8"/>
      <c r="D271" s="8"/>
      <c r="E271" s="8"/>
      <c r="F271" s="8"/>
      <c r="G271" s="8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1.5" x14ac:dyDescent="0.15">
      <c r="A272" s="8"/>
      <c r="B272" s="8"/>
      <c r="C272" s="8"/>
      <c r="D272" s="8"/>
      <c r="E272" s="8"/>
      <c r="F272" s="8"/>
      <c r="G272" s="8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11.5" x14ac:dyDescent="0.15">
      <c r="A273" s="8"/>
      <c r="B273" s="8"/>
      <c r="C273" s="8"/>
      <c r="D273" s="8"/>
      <c r="E273" s="8"/>
      <c r="F273" s="8"/>
      <c r="G273" s="8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11.5" x14ac:dyDescent="0.15">
      <c r="A274" s="8"/>
      <c r="B274" s="8"/>
      <c r="C274" s="8"/>
      <c r="D274" s="8"/>
      <c r="E274" s="8"/>
      <c r="F274" s="8"/>
      <c r="G274" s="8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11.5" x14ac:dyDescent="0.15">
      <c r="A275" s="8"/>
      <c r="B275" s="8"/>
      <c r="C275" s="8"/>
      <c r="D275" s="8"/>
      <c r="E275" s="8"/>
      <c r="F275" s="8"/>
      <c r="G275" s="8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11.5" x14ac:dyDescent="0.15">
      <c r="A276" s="8"/>
      <c r="B276" s="8"/>
      <c r="C276" s="8"/>
      <c r="D276" s="8"/>
      <c r="E276" s="8"/>
      <c r="F276" s="8"/>
      <c r="G276" s="8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11.5" x14ac:dyDescent="0.15">
      <c r="A277" s="8"/>
      <c r="B277" s="8"/>
      <c r="C277" s="8"/>
      <c r="D277" s="8"/>
      <c r="E277" s="8"/>
      <c r="F277" s="8"/>
      <c r="G277" s="8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11.5" x14ac:dyDescent="0.15">
      <c r="A278" s="8"/>
      <c r="B278" s="8"/>
      <c r="C278" s="8"/>
      <c r="D278" s="8"/>
      <c r="E278" s="8"/>
      <c r="F278" s="8"/>
      <c r="G278" s="8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11.5" x14ac:dyDescent="0.15">
      <c r="A279" s="8"/>
      <c r="B279" s="8"/>
      <c r="C279" s="8"/>
      <c r="D279" s="8"/>
      <c r="E279" s="8"/>
      <c r="F279" s="8"/>
      <c r="G279" s="8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11.5" x14ac:dyDescent="0.15">
      <c r="A280" s="8"/>
      <c r="B280" s="8"/>
      <c r="C280" s="8"/>
      <c r="D280" s="8"/>
      <c r="E280" s="8"/>
      <c r="F280" s="8"/>
      <c r="G280" s="8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11.5" x14ac:dyDescent="0.15">
      <c r="A281" s="8"/>
      <c r="B281" s="8"/>
      <c r="C281" s="8"/>
      <c r="D281" s="8"/>
      <c r="E281" s="8"/>
      <c r="F281" s="8"/>
      <c r="G281" s="8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11.5" x14ac:dyDescent="0.15">
      <c r="A282" s="8"/>
      <c r="B282" s="8"/>
      <c r="C282" s="8"/>
      <c r="D282" s="8"/>
      <c r="E282" s="8"/>
      <c r="F282" s="8"/>
      <c r="G282" s="8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11.5" x14ac:dyDescent="0.15">
      <c r="A283" s="8"/>
      <c r="B283" s="8"/>
      <c r="C283" s="8"/>
      <c r="D283" s="8"/>
      <c r="E283" s="8"/>
      <c r="F283" s="8"/>
      <c r="G283" s="8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11.5" x14ac:dyDescent="0.15">
      <c r="A284" s="8"/>
      <c r="B284" s="8"/>
      <c r="C284" s="8"/>
      <c r="D284" s="8"/>
      <c r="E284" s="8"/>
      <c r="F284" s="8"/>
      <c r="G284" s="8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11.5" x14ac:dyDescent="0.15">
      <c r="A285" s="8"/>
      <c r="B285" s="8"/>
      <c r="C285" s="8"/>
      <c r="D285" s="8"/>
      <c r="E285" s="8"/>
      <c r="F285" s="8"/>
      <c r="G285" s="8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11.5" x14ac:dyDescent="0.15">
      <c r="A286" s="8"/>
      <c r="B286" s="8"/>
      <c r="C286" s="8"/>
      <c r="D286" s="8"/>
      <c r="E286" s="8"/>
      <c r="F286" s="8"/>
      <c r="G286" s="8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11.5" x14ac:dyDescent="0.15">
      <c r="A287" s="8"/>
      <c r="B287" s="8"/>
      <c r="C287" s="8"/>
      <c r="D287" s="8"/>
      <c r="E287" s="8"/>
      <c r="F287" s="8"/>
      <c r="G287" s="8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11.5" x14ac:dyDescent="0.15">
      <c r="A288" s="8"/>
      <c r="B288" s="8"/>
      <c r="C288" s="8"/>
      <c r="D288" s="8"/>
      <c r="E288" s="8"/>
      <c r="F288" s="8"/>
      <c r="G288" s="8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11.5" x14ac:dyDescent="0.15">
      <c r="A289" s="8"/>
      <c r="B289" s="8"/>
      <c r="C289" s="8"/>
      <c r="D289" s="8"/>
      <c r="E289" s="8"/>
      <c r="F289" s="8"/>
      <c r="G289" s="8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11.5" x14ac:dyDescent="0.15">
      <c r="A290" s="8"/>
      <c r="B290" s="8"/>
      <c r="C290" s="8"/>
      <c r="D290" s="8"/>
      <c r="E290" s="8"/>
      <c r="F290" s="8"/>
      <c r="G290" s="8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11.5" x14ac:dyDescent="0.15">
      <c r="A291" s="8"/>
      <c r="B291" s="8"/>
      <c r="C291" s="8"/>
      <c r="D291" s="8"/>
      <c r="E291" s="8"/>
      <c r="F291" s="8"/>
      <c r="G291" s="8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11.5" x14ac:dyDescent="0.15">
      <c r="A292" s="8"/>
      <c r="B292" s="8"/>
      <c r="C292" s="8"/>
      <c r="D292" s="8"/>
      <c r="E292" s="8"/>
      <c r="F292" s="8"/>
      <c r="G292" s="8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11.5" x14ac:dyDescent="0.15">
      <c r="A293" s="8"/>
      <c r="B293" s="8"/>
      <c r="C293" s="8"/>
      <c r="D293" s="8"/>
      <c r="E293" s="8"/>
      <c r="F293" s="8"/>
      <c r="G293" s="8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11.5" x14ac:dyDescent="0.15">
      <c r="A294" s="8"/>
      <c r="B294" s="8"/>
      <c r="C294" s="8"/>
      <c r="D294" s="8"/>
      <c r="E294" s="8"/>
      <c r="F294" s="8"/>
      <c r="G294" s="8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11.5" x14ac:dyDescent="0.15">
      <c r="A295" s="8"/>
      <c r="B295" s="8"/>
      <c r="C295" s="8"/>
      <c r="D295" s="8"/>
      <c r="E295" s="8"/>
      <c r="F295" s="8"/>
      <c r="G295" s="8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11.5" x14ac:dyDescent="0.15">
      <c r="A296" s="8"/>
      <c r="B296" s="8"/>
      <c r="C296" s="8"/>
      <c r="D296" s="8"/>
      <c r="E296" s="8"/>
      <c r="F296" s="8"/>
      <c r="G296" s="8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11.5" x14ac:dyDescent="0.15">
      <c r="A297" s="8"/>
      <c r="B297" s="8"/>
      <c r="C297" s="8"/>
      <c r="D297" s="8"/>
      <c r="E297" s="8"/>
      <c r="F297" s="8"/>
      <c r="G297" s="8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11.5" x14ac:dyDescent="0.15">
      <c r="A298" s="8"/>
      <c r="B298" s="8"/>
      <c r="C298" s="8"/>
      <c r="D298" s="8"/>
      <c r="E298" s="8"/>
      <c r="F298" s="8"/>
      <c r="G298" s="8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11.5" x14ac:dyDescent="0.15">
      <c r="A299" s="8"/>
      <c r="B299" s="8"/>
      <c r="C299" s="8"/>
      <c r="D299" s="8"/>
      <c r="E299" s="8"/>
      <c r="F299" s="8"/>
      <c r="G299" s="8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11.5" x14ac:dyDescent="0.15">
      <c r="A300" s="8"/>
      <c r="B300" s="8"/>
      <c r="C300" s="8"/>
      <c r="D300" s="8"/>
      <c r="E300" s="8"/>
      <c r="F300" s="8"/>
      <c r="G300" s="8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11.5" x14ac:dyDescent="0.15">
      <c r="A301" s="8"/>
      <c r="B301" s="8"/>
      <c r="C301" s="8"/>
      <c r="D301" s="8"/>
      <c r="E301" s="8"/>
      <c r="F301" s="8"/>
      <c r="G301" s="8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11.5" x14ac:dyDescent="0.15">
      <c r="A302" s="8"/>
      <c r="B302" s="8"/>
      <c r="C302" s="8"/>
      <c r="D302" s="8"/>
      <c r="E302" s="8"/>
      <c r="F302" s="8"/>
      <c r="G302" s="8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11.5" x14ac:dyDescent="0.15">
      <c r="A303" s="8"/>
      <c r="B303" s="8"/>
      <c r="C303" s="8"/>
      <c r="D303" s="8"/>
      <c r="E303" s="8"/>
      <c r="F303" s="8"/>
      <c r="G303" s="8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11.5" x14ac:dyDescent="0.15">
      <c r="A304" s="8"/>
      <c r="B304" s="8"/>
      <c r="C304" s="8"/>
      <c r="D304" s="8"/>
      <c r="E304" s="8"/>
      <c r="F304" s="8"/>
      <c r="G304" s="8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11.5" x14ac:dyDescent="0.15">
      <c r="A305" s="8"/>
      <c r="B305" s="8"/>
      <c r="C305" s="8"/>
      <c r="D305" s="8"/>
      <c r="E305" s="8"/>
      <c r="F305" s="8"/>
      <c r="G305" s="8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11.5" x14ac:dyDescent="0.15">
      <c r="A306" s="8"/>
      <c r="B306" s="8"/>
      <c r="C306" s="8"/>
      <c r="D306" s="8"/>
      <c r="E306" s="8"/>
      <c r="F306" s="8"/>
      <c r="G306" s="8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11.5" x14ac:dyDescent="0.15">
      <c r="A307" s="8"/>
      <c r="B307" s="8"/>
      <c r="C307" s="8"/>
      <c r="D307" s="8"/>
      <c r="E307" s="8"/>
      <c r="F307" s="8"/>
      <c r="G307" s="8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11.5" x14ac:dyDescent="0.15">
      <c r="A308" s="8"/>
      <c r="B308" s="8"/>
      <c r="C308" s="8"/>
      <c r="D308" s="8"/>
      <c r="E308" s="8"/>
      <c r="F308" s="8"/>
      <c r="G308" s="8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11.5" x14ac:dyDescent="0.15">
      <c r="A309" s="8"/>
      <c r="B309" s="8"/>
      <c r="C309" s="8"/>
      <c r="D309" s="8"/>
      <c r="E309" s="8"/>
      <c r="F309" s="8"/>
      <c r="G309" s="8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11.5" x14ac:dyDescent="0.15">
      <c r="A310" s="8"/>
      <c r="B310" s="8"/>
      <c r="C310" s="8"/>
      <c r="D310" s="8"/>
      <c r="E310" s="8"/>
      <c r="F310" s="8"/>
      <c r="G310" s="8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11.5" x14ac:dyDescent="0.15">
      <c r="A311" s="8"/>
      <c r="B311" s="8"/>
      <c r="C311" s="8"/>
      <c r="D311" s="8"/>
      <c r="E311" s="8"/>
      <c r="F311" s="8"/>
      <c r="G311" s="8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11.5" x14ac:dyDescent="0.15">
      <c r="A312" s="8"/>
      <c r="B312" s="8"/>
      <c r="C312" s="8"/>
      <c r="D312" s="8"/>
      <c r="E312" s="8"/>
      <c r="F312" s="8"/>
      <c r="G312" s="8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11.5" x14ac:dyDescent="0.15">
      <c r="A313" s="8"/>
      <c r="B313" s="8"/>
      <c r="C313" s="8"/>
      <c r="D313" s="8"/>
      <c r="E313" s="8"/>
      <c r="F313" s="8"/>
      <c r="G313" s="8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11.5" x14ac:dyDescent="0.15">
      <c r="A314" s="8"/>
      <c r="B314" s="8"/>
      <c r="C314" s="8"/>
      <c r="D314" s="8"/>
      <c r="E314" s="8"/>
      <c r="F314" s="8"/>
      <c r="G314" s="8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11.5" x14ac:dyDescent="0.15">
      <c r="A315" s="8"/>
      <c r="B315" s="8"/>
      <c r="C315" s="8"/>
      <c r="D315" s="8"/>
      <c r="E315" s="8"/>
      <c r="F315" s="8"/>
      <c r="G315" s="8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11.5" x14ac:dyDescent="0.15">
      <c r="A316" s="8"/>
      <c r="B316" s="8"/>
      <c r="C316" s="8"/>
      <c r="D316" s="8"/>
      <c r="E316" s="8"/>
      <c r="F316" s="8"/>
      <c r="G316" s="8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11.5" x14ac:dyDescent="0.15">
      <c r="A317" s="8"/>
      <c r="B317" s="8"/>
      <c r="C317" s="8"/>
      <c r="D317" s="8"/>
      <c r="E317" s="8"/>
      <c r="F317" s="8"/>
      <c r="G317" s="8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11.5" x14ac:dyDescent="0.15">
      <c r="A318" s="8"/>
      <c r="B318" s="8"/>
      <c r="C318" s="8"/>
      <c r="D318" s="8"/>
      <c r="E318" s="8"/>
      <c r="F318" s="8"/>
      <c r="G318" s="8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11.5" x14ac:dyDescent="0.15">
      <c r="A319" s="8"/>
      <c r="B319" s="8"/>
      <c r="C319" s="8"/>
      <c r="D319" s="8"/>
      <c r="E319" s="8"/>
      <c r="F319" s="8"/>
      <c r="G319" s="8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11.5" x14ac:dyDescent="0.15">
      <c r="A320" s="8"/>
      <c r="B320" s="8"/>
      <c r="C320" s="8"/>
      <c r="D320" s="8"/>
      <c r="E320" s="8"/>
      <c r="F320" s="8"/>
      <c r="G320" s="8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11.5" x14ac:dyDescent="0.15">
      <c r="A321" s="8"/>
      <c r="B321" s="8"/>
      <c r="C321" s="8"/>
      <c r="D321" s="8"/>
      <c r="E321" s="8"/>
      <c r="F321" s="8"/>
      <c r="G321" s="8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11.5" x14ac:dyDescent="0.15">
      <c r="A322" s="8"/>
      <c r="B322" s="8"/>
      <c r="C322" s="8"/>
      <c r="D322" s="8"/>
      <c r="E322" s="8"/>
      <c r="F322" s="8"/>
      <c r="G322" s="8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11.5" x14ac:dyDescent="0.15">
      <c r="A323" s="8"/>
      <c r="B323" s="8"/>
      <c r="C323" s="8"/>
      <c r="D323" s="8"/>
      <c r="E323" s="8"/>
      <c r="F323" s="8"/>
      <c r="G323" s="8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11.5" x14ac:dyDescent="0.15">
      <c r="A324" s="8"/>
      <c r="B324" s="8"/>
      <c r="C324" s="8"/>
      <c r="D324" s="8"/>
      <c r="E324" s="8"/>
      <c r="F324" s="8"/>
      <c r="G324" s="8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1.5" x14ac:dyDescent="0.15">
      <c r="A325" s="8"/>
      <c r="B325" s="8"/>
      <c r="C325" s="8"/>
      <c r="D325" s="8"/>
      <c r="E325" s="8"/>
      <c r="F325" s="8"/>
      <c r="G325" s="8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11.5" x14ac:dyDescent="0.15">
      <c r="A326" s="8"/>
      <c r="B326" s="8"/>
      <c r="C326" s="8"/>
      <c r="D326" s="8"/>
      <c r="E326" s="8"/>
      <c r="F326" s="8"/>
      <c r="G326" s="8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1.5" x14ac:dyDescent="0.15">
      <c r="A327" s="8"/>
      <c r="B327" s="8"/>
      <c r="C327" s="8"/>
      <c r="D327" s="8"/>
      <c r="E327" s="8"/>
      <c r="F327" s="8"/>
      <c r="G327" s="8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11.5" x14ac:dyDescent="0.15">
      <c r="A328" s="8"/>
      <c r="B328" s="8"/>
      <c r="C328" s="8"/>
      <c r="D328" s="8"/>
      <c r="E328" s="8"/>
      <c r="F328" s="8"/>
      <c r="G328" s="8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11.5" x14ac:dyDescent="0.15">
      <c r="A329" s="8"/>
      <c r="B329" s="8"/>
      <c r="C329" s="8"/>
      <c r="D329" s="8"/>
      <c r="E329" s="8"/>
      <c r="F329" s="8"/>
      <c r="G329" s="8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11.5" x14ac:dyDescent="0.15">
      <c r="A330" s="8"/>
      <c r="B330" s="8"/>
      <c r="C330" s="8"/>
      <c r="D330" s="8"/>
      <c r="E330" s="8"/>
      <c r="F330" s="8"/>
      <c r="G330" s="8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11.5" x14ac:dyDescent="0.15">
      <c r="A331" s="8"/>
      <c r="B331" s="8"/>
      <c r="C331" s="8"/>
      <c r="D331" s="8"/>
      <c r="E331" s="8"/>
      <c r="F331" s="8"/>
      <c r="G331" s="8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11.5" x14ac:dyDescent="0.15">
      <c r="A332" s="8"/>
      <c r="B332" s="8"/>
      <c r="C332" s="8"/>
      <c r="D332" s="8"/>
      <c r="E332" s="8"/>
      <c r="F332" s="8"/>
      <c r="G332" s="8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11.5" x14ac:dyDescent="0.15">
      <c r="A333" s="8"/>
      <c r="B333" s="8"/>
      <c r="C333" s="8"/>
      <c r="D333" s="8"/>
      <c r="E333" s="8"/>
      <c r="F333" s="8"/>
      <c r="G333" s="8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11.5" x14ac:dyDescent="0.15">
      <c r="A334" s="8"/>
      <c r="B334" s="8"/>
      <c r="C334" s="8"/>
      <c r="D334" s="8"/>
      <c r="E334" s="8"/>
      <c r="F334" s="8"/>
      <c r="G334" s="8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1.5" x14ac:dyDescent="0.15">
      <c r="A335" s="8"/>
      <c r="B335" s="8"/>
      <c r="C335" s="8"/>
      <c r="D335" s="8"/>
      <c r="E335" s="8"/>
      <c r="F335" s="8"/>
      <c r="G335" s="8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11.5" x14ac:dyDescent="0.15">
      <c r="A336" s="8"/>
      <c r="B336" s="8"/>
      <c r="C336" s="8"/>
      <c r="D336" s="8"/>
      <c r="E336" s="8"/>
      <c r="F336" s="8"/>
      <c r="G336" s="8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11.5" x14ac:dyDescent="0.15">
      <c r="A337" s="8"/>
      <c r="B337" s="8"/>
      <c r="C337" s="8"/>
      <c r="D337" s="8"/>
      <c r="E337" s="8"/>
      <c r="F337" s="8"/>
      <c r="G337" s="8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11.5" x14ac:dyDescent="0.15">
      <c r="A338" s="8"/>
      <c r="B338" s="8"/>
      <c r="C338" s="8"/>
      <c r="D338" s="8"/>
      <c r="E338" s="8"/>
      <c r="F338" s="8"/>
      <c r="G338" s="8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11.5" x14ac:dyDescent="0.15">
      <c r="A339" s="8"/>
      <c r="B339" s="8"/>
      <c r="C339" s="8"/>
      <c r="D339" s="8"/>
      <c r="E339" s="8"/>
      <c r="F339" s="8"/>
      <c r="G339" s="8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11.5" x14ac:dyDescent="0.15">
      <c r="A340" s="8"/>
      <c r="B340" s="8"/>
      <c r="C340" s="8"/>
      <c r="D340" s="8"/>
      <c r="E340" s="8"/>
      <c r="F340" s="8"/>
      <c r="G340" s="8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11.5" x14ac:dyDescent="0.15">
      <c r="A341" s="8"/>
      <c r="B341" s="8"/>
      <c r="C341" s="8"/>
      <c r="D341" s="8"/>
      <c r="E341" s="8"/>
      <c r="F341" s="8"/>
      <c r="G341" s="8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11.5" x14ac:dyDescent="0.15">
      <c r="A342" s="8"/>
      <c r="B342" s="8"/>
      <c r="C342" s="8"/>
      <c r="D342" s="8"/>
      <c r="E342" s="8"/>
      <c r="F342" s="8"/>
      <c r="G342" s="8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11.5" x14ac:dyDescent="0.15">
      <c r="A343" s="8"/>
      <c r="B343" s="8"/>
      <c r="C343" s="8"/>
      <c r="D343" s="8"/>
      <c r="E343" s="8"/>
      <c r="F343" s="8"/>
      <c r="G343" s="8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11.5" x14ac:dyDescent="0.15">
      <c r="A344" s="8"/>
      <c r="B344" s="8"/>
      <c r="C344" s="8"/>
      <c r="D344" s="8"/>
      <c r="E344" s="8"/>
      <c r="F344" s="8"/>
      <c r="G344" s="8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11.5" x14ac:dyDescent="0.15">
      <c r="A345" s="8"/>
      <c r="B345" s="8"/>
      <c r="C345" s="8"/>
      <c r="D345" s="8"/>
      <c r="E345" s="8"/>
      <c r="F345" s="8"/>
      <c r="G345" s="8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11.5" x14ac:dyDescent="0.15">
      <c r="A346" s="8"/>
      <c r="B346" s="8"/>
      <c r="C346" s="8"/>
      <c r="D346" s="8"/>
      <c r="E346" s="8"/>
      <c r="F346" s="8"/>
      <c r="G346" s="8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11.5" x14ac:dyDescent="0.15">
      <c r="A347" s="8"/>
      <c r="B347" s="8"/>
      <c r="C347" s="8"/>
      <c r="D347" s="8"/>
      <c r="E347" s="8"/>
      <c r="F347" s="8"/>
      <c r="G347" s="8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11.5" x14ac:dyDescent="0.15">
      <c r="A348" s="8"/>
      <c r="B348" s="8"/>
      <c r="C348" s="8"/>
      <c r="D348" s="8"/>
      <c r="E348" s="8"/>
      <c r="F348" s="8"/>
      <c r="G348" s="8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11.5" x14ac:dyDescent="0.15">
      <c r="A349" s="8"/>
      <c r="B349" s="8"/>
      <c r="C349" s="8"/>
      <c r="D349" s="8"/>
      <c r="E349" s="8"/>
      <c r="F349" s="8"/>
      <c r="G349" s="8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11.5" x14ac:dyDescent="0.15">
      <c r="A350" s="8"/>
      <c r="B350" s="8"/>
      <c r="C350" s="8"/>
      <c r="D350" s="8"/>
      <c r="E350" s="8"/>
      <c r="F350" s="8"/>
      <c r="G350" s="8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11.5" x14ac:dyDescent="0.15">
      <c r="A351" s="8"/>
      <c r="B351" s="8"/>
      <c r="C351" s="8"/>
      <c r="D351" s="8"/>
      <c r="E351" s="8"/>
      <c r="F351" s="8"/>
      <c r="G351" s="8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11.5" x14ac:dyDescent="0.15">
      <c r="A352" s="8"/>
      <c r="B352" s="8"/>
      <c r="C352" s="8"/>
      <c r="D352" s="8"/>
      <c r="E352" s="8"/>
      <c r="F352" s="8"/>
      <c r="G352" s="8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11.5" x14ac:dyDescent="0.15">
      <c r="A353" s="8"/>
      <c r="B353" s="8"/>
      <c r="C353" s="8"/>
      <c r="D353" s="8"/>
      <c r="E353" s="8"/>
      <c r="F353" s="8"/>
      <c r="G353" s="8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11.5" x14ac:dyDescent="0.15">
      <c r="A354" s="8"/>
      <c r="B354" s="8"/>
      <c r="C354" s="8"/>
      <c r="D354" s="8"/>
      <c r="E354" s="8"/>
      <c r="F354" s="8"/>
      <c r="G354" s="8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11.5" x14ac:dyDescent="0.15">
      <c r="A355" s="8"/>
      <c r="B355" s="8"/>
      <c r="C355" s="8"/>
      <c r="D355" s="8"/>
      <c r="E355" s="8"/>
      <c r="F355" s="8"/>
      <c r="G355" s="8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11.5" x14ac:dyDescent="0.15">
      <c r="A356" s="8"/>
      <c r="B356" s="8"/>
      <c r="C356" s="8"/>
      <c r="D356" s="8"/>
      <c r="E356" s="8"/>
      <c r="F356" s="8"/>
      <c r="G356" s="8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11.5" x14ac:dyDescent="0.15">
      <c r="A357" s="8"/>
      <c r="B357" s="8"/>
      <c r="C357" s="8"/>
      <c r="D357" s="8"/>
      <c r="E357" s="8"/>
      <c r="F357" s="8"/>
      <c r="G357" s="8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11.5" x14ac:dyDescent="0.15">
      <c r="A358" s="8"/>
      <c r="B358" s="8"/>
      <c r="C358" s="8"/>
      <c r="D358" s="8"/>
      <c r="E358" s="8"/>
      <c r="F358" s="8"/>
      <c r="G358" s="8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11.5" x14ac:dyDescent="0.15">
      <c r="A359" s="8"/>
      <c r="B359" s="8"/>
      <c r="C359" s="8"/>
      <c r="D359" s="8"/>
      <c r="E359" s="8"/>
      <c r="F359" s="8"/>
      <c r="G359" s="8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11.5" x14ac:dyDescent="0.15">
      <c r="A360" s="8"/>
      <c r="B360" s="8"/>
      <c r="C360" s="8"/>
      <c r="D360" s="8"/>
      <c r="E360" s="8"/>
      <c r="F360" s="8"/>
      <c r="G360" s="8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11.5" x14ac:dyDescent="0.15">
      <c r="A361" s="8"/>
      <c r="B361" s="8"/>
      <c r="C361" s="8"/>
      <c r="D361" s="8"/>
      <c r="E361" s="8"/>
      <c r="F361" s="8"/>
      <c r="G361" s="8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11.5" x14ac:dyDescent="0.15">
      <c r="A362" s="8"/>
      <c r="B362" s="8"/>
      <c r="C362" s="8"/>
      <c r="D362" s="8"/>
      <c r="E362" s="8"/>
      <c r="F362" s="8"/>
      <c r="G362" s="8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11.5" x14ac:dyDescent="0.15">
      <c r="A363" s="8"/>
      <c r="B363" s="8"/>
      <c r="C363" s="8"/>
      <c r="D363" s="8"/>
      <c r="E363" s="8"/>
      <c r="F363" s="8"/>
      <c r="G363" s="8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11.5" x14ac:dyDescent="0.15">
      <c r="A364" s="8"/>
      <c r="B364" s="8"/>
      <c r="C364" s="8"/>
      <c r="D364" s="8"/>
      <c r="E364" s="8"/>
      <c r="F364" s="8"/>
      <c r="G364" s="8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11.5" x14ac:dyDescent="0.15">
      <c r="A365" s="7"/>
      <c r="B365" s="7"/>
      <c r="C365" s="7"/>
      <c r="D365" s="8"/>
      <c r="E365" s="8"/>
      <c r="F365" s="8"/>
      <c r="G365" s="8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11.5" x14ac:dyDescent="0.15">
      <c r="A366" s="7"/>
      <c r="B366" s="7"/>
      <c r="C366" s="7"/>
      <c r="D366" s="8"/>
      <c r="E366" s="8"/>
      <c r="F366" s="8"/>
      <c r="G366" s="8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11.5" x14ac:dyDescent="0.15">
      <c r="A367" s="7"/>
      <c r="B367" s="7"/>
      <c r="C367" s="7"/>
      <c r="D367" s="8"/>
      <c r="E367" s="8"/>
      <c r="F367" s="8"/>
      <c r="G367" s="8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11.5" x14ac:dyDescent="0.15">
      <c r="A368" s="7"/>
      <c r="B368" s="7"/>
      <c r="C368" s="7"/>
      <c r="D368" s="8"/>
      <c r="E368" s="8"/>
      <c r="F368" s="8"/>
      <c r="G368" s="8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11.5" x14ac:dyDescent="0.15">
      <c r="A369" s="7"/>
      <c r="B369" s="7"/>
      <c r="C369" s="7"/>
      <c r="D369" s="8"/>
      <c r="E369" s="8"/>
      <c r="F369" s="8"/>
      <c r="G369" s="8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11.5" x14ac:dyDescent="0.15">
      <c r="A370" s="7"/>
      <c r="B370" s="7"/>
      <c r="C370" s="7"/>
      <c r="D370" s="8"/>
      <c r="E370" s="8"/>
      <c r="F370" s="8"/>
      <c r="G370" s="8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11.5" x14ac:dyDescent="0.15">
      <c r="A371" s="7"/>
      <c r="B371" s="7"/>
      <c r="C371" s="7"/>
      <c r="D371" s="8"/>
      <c r="E371" s="8"/>
      <c r="F371" s="8"/>
      <c r="G371" s="8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11.5" x14ac:dyDescent="0.15">
      <c r="A372" s="7"/>
      <c r="B372" s="7"/>
      <c r="C372" s="7"/>
      <c r="D372" s="8"/>
      <c r="E372" s="8"/>
      <c r="F372" s="8"/>
      <c r="G372" s="8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11.5" x14ac:dyDescent="0.15">
      <c r="A373" s="7"/>
      <c r="B373" s="7"/>
      <c r="C373" s="7"/>
      <c r="D373" s="8"/>
      <c r="E373" s="8"/>
      <c r="F373" s="8"/>
      <c r="G373" s="8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11.5" x14ac:dyDescent="0.15">
      <c r="A374" s="7"/>
      <c r="B374" s="7"/>
      <c r="C374" s="7"/>
      <c r="D374" s="8"/>
      <c r="E374" s="8"/>
      <c r="F374" s="8"/>
      <c r="G374" s="8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11.5" x14ac:dyDescent="0.15">
      <c r="A375" s="7"/>
      <c r="B375" s="7"/>
      <c r="C375" s="7"/>
      <c r="D375" s="8"/>
      <c r="E375" s="8"/>
      <c r="F375" s="8"/>
      <c r="G375" s="8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11.5" x14ac:dyDescent="0.15">
      <c r="A376" s="7"/>
      <c r="B376" s="7"/>
      <c r="C376" s="7"/>
      <c r="D376" s="8"/>
      <c r="E376" s="8"/>
      <c r="F376" s="8"/>
      <c r="G376" s="8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11.5" x14ac:dyDescent="0.15">
      <c r="A377" s="7"/>
      <c r="B377" s="7"/>
      <c r="C377" s="7"/>
      <c r="D377" s="8"/>
      <c r="E377" s="8"/>
      <c r="F377" s="8"/>
      <c r="G377" s="8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11.5" x14ac:dyDescent="0.15">
      <c r="A378" s="7"/>
      <c r="B378" s="7"/>
      <c r="C378" s="7"/>
      <c r="D378" s="8"/>
      <c r="E378" s="8"/>
      <c r="F378" s="8"/>
      <c r="G378" s="8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11.5" x14ac:dyDescent="0.15">
      <c r="A379" s="7"/>
      <c r="B379" s="7"/>
      <c r="C379" s="7"/>
      <c r="D379" s="8"/>
      <c r="E379" s="8"/>
      <c r="F379" s="8"/>
      <c r="G379" s="8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11.5" x14ac:dyDescent="0.15">
      <c r="A380" s="7"/>
      <c r="B380" s="7"/>
      <c r="C380" s="7"/>
      <c r="D380" s="8"/>
      <c r="E380" s="8"/>
      <c r="F380" s="8"/>
      <c r="G380" s="8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11.5" x14ac:dyDescent="0.15">
      <c r="A381" s="7"/>
      <c r="B381" s="7"/>
      <c r="C381" s="7"/>
      <c r="D381" s="8"/>
      <c r="E381" s="8"/>
      <c r="F381" s="8"/>
      <c r="G381" s="8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11.5" x14ac:dyDescent="0.15">
      <c r="A382" s="7"/>
      <c r="B382" s="7"/>
      <c r="C382" s="7"/>
      <c r="D382" s="8"/>
      <c r="E382" s="8"/>
      <c r="F382" s="8"/>
      <c r="G382" s="8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11.5" x14ac:dyDescent="0.15">
      <c r="A383" s="7"/>
      <c r="B383" s="7"/>
      <c r="C383" s="7"/>
      <c r="D383" s="8"/>
      <c r="E383" s="8"/>
      <c r="F383" s="8"/>
      <c r="G383" s="8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11.5" x14ac:dyDescent="0.15">
      <c r="A384" s="7"/>
      <c r="B384" s="7"/>
      <c r="C384" s="7"/>
      <c r="D384" s="8"/>
      <c r="E384" s="8"/>
      <c r="F384" s="8"/>
      <c r="G384" s="8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ht="11.5" x14ac:dyDescent="0.15">
      <c r="A385" s="7"/>
      <c r="B385" s="7"/>
      <c r="C385" s="7"/>
      <c r="D385" s="8"/>
      <c r="E385" s="8"/>
      <c r="F385" s="8"/>
      <c r="G385" s="8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ht="11.5" x14ac:dyDescent="0.15">
      <c r="A386" s="7"/>
      <c r="B386" s="7"/>
      <c r="C386" s="7"/>
      <c r="D386" s="8"/>
      <c r="E386" s="8"/>
      <c r="F386" s="8"/>
      <c r="G386" s="8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ht="11.5" x14ac:dyDescent="0.15">
      <c r="A387" s="7"/>
      <c r="B387" s="7"/>
      <c r="C387" s="7"/>
      <c r="D387" s="8"/>
      <c r="E387" s="8"/>
      <c r="F387" s="8"/>
      <c r="G387" s="8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ht="11.5" x14ac:dyDescent="0.15">
      <c r="A388" s="7"/>
      <c r="B388" s="7"/>
      <c r="C388" s="7"/>
      <c r="D388" s="8"/>
      <c r="E388" s="8"/>
      <c r="F388" s="8"/>
      <c r="G388" s="8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ht="11.5" x14ac:dyDescent="0.15">
      <c r="A389" s="7"/>
      <c r="B389" s="7"/>
      <c r="C389" s="7"/>
      <c r="D389" s="8"/>
      <c r="E389" s="8"/>
      <c r="F389" s="8"/>
      <c r="G389" s="8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ht="11.5" x14ac:dyDescent="0.15">
      <c r="A390" s="7"/>
      <c r="B390" s="7"/>
      <c r="C390" s="7"/>
      <c r="D390" s="8"/>
      <c r="E390" s="8"/>
      <c r="F390" s="8"/>
      <c r="G390" s="8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ht="11.5" x14ac:dyDescent="0.15">
      <c r="A391" s="7"/>
      <c r="B391" s="7"/>
      <c r="C391" s="7"/>
      <c r="D391" s="8"/>
      <c r="E391" s="8"/>
      <c r="F391" s="8"/>
      <c r="G391" s="8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ht="11.5" x14ac:dyDescent="0.15">
      <c r="A392" s="7"/>
      <c r="B392" s="7"/>
      <c r="C392" s="7"/>
      <c r="D392" s="8"/>
      <c r="E392" s="8"/>
      <c r="F392" s="8"/>
      <c r="G392" s="8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ht="11.5" x14ac:dyDescent="0.15">
      <c r="A393" s="7"/>
      <c r="B393" s="7"/>
      <c r="C393" s="7"/>
      <c r="D393" s="8"/>
      <c r="E393" s="8"/>
      <c r="F393" s="8"/>
      <c r="G393" s="8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ht="11.5" x14ac:dyDescent="0.15">
      <c r="A394" s="7"/>
      <c r="B394" s="7"/>
      <c r="C394" s="7"/>
      <c r="D394" s="8"/>
      <c r="E394" s="8"/>
      <c r="F394" s="8"/>
      <c r="G394" s="8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ht="11.5" x14ac:dyDescent="0.15">
      <c r="A395" s="7"/>
      <c r="B395" s="7"/>
      <c r="C395" s="7"/>
      <c r="D395" s="8"/>
      <c r="E395" s="8"/>
      <c r="F395" s="8"/>
      <c r="G395" s="8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ht="11.5" x14ac:dyDescent="0.15">
      <c r="A396" s="7"/>
      <c r="B396" s="7"/>
      <c r="C396" s="7"/>
      <c r="D396" s="8"/>
      <c r="E396" s="8"/>
      <c r="F396" s="8"/>
      <c r="G396" s="8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ht="11.5" x14ac:dyDescent="0.15">
      <c r="A397" s="7"/>
      <c r="B397" s="7"/>
      <c r="C397" s="7"/>
      <c r="D397" s="8"/>
      <c r="E397" s="8"/>
      <c r="F397" s="8"/>
      <c r="G397" s="8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ht="11.5" x14ac:dyDescent="0.15">
      <c r="A398" s="7"/>
      <c r="B398" s="7"/>
      <c r="C398" s="7"/>
      <c r="D398" s="8"/>
      <c r="E398" s="8"/>
      <c r="F398" s="8"/>
      <c r="G398" s="8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ht="11.5" x14ac:dyDescent="0.15">
      <c r="A399" s="7"/>
      <c r="B399" s="7"/>
      <c r="C399" s="7"/>
      <c r="D399" s="8"/>
      <c r="E399" s="8"/>
      <c r="F399" s="8"/>
      <c r="G399" s="8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ht="11.5" x14ac:dyDescent="0.15">
      <c r="A400" s="7"/>
      <c r="B400" s="7"/>
      <c r="C400" s="7"/>
      <c r="D400" s="8"/>
      <c r="E400" s="8"/>
      <c r="F400" s="8"/>
      <c r="G400" s="8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ht="11.5" x14ac:dyDescent="0.15">
      <c r="A401" s="7"/>
      <c r="B401" s="7"/>
      <c r="C401" s="7"/>
      <c r="D401" s="8"/>
      <c r="E401" s="8"/>
      <c r="F401" s="8"/>
      <c r="G401" s="8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ht="11.5" x14ac:dyDescent="0.15">
      <c r="A402" s="7"/>
      <c r="B402" s="7"/>
      <c r="C402" s="7"/>
      <c r="D402" s="8"/>
      <c r="E402" s="8"/>
      <c r="F402" s="8"/>
      <c r="G402" s="8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ht="11.5" x14ac:dyDescent="0.15">
      <c r="A403" s="7"/>
      <c r="B403" s="7"/>
      <c r="C403" s="7"/>
      <c r="D403" s="8"/>
      <c r="E403" s="8"/>
      <c r="F403" s="8"/>
      <c r="G403" s="8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ht="11.5" x14ac:dyDescent="0.15">
      <c r="A404" s="7"/>
      <c r="B404" s="7"/>
      <c r="C404" s="7"/>
      <c r="D404" s="8"/>
      <c r="E404" s="8"/>
      <c r="F404" s="8"/>
      <c r="G404" s="8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ht="11.5" x14ac:dyDescent="0.15">
      <c r="A405" s="7"/>
      <c r="B405" s="7"/>
      <c r="C405" s="7"/>
      <c r="D405" s="8"/>
      <c r="E405" s="8"/>
      <c r="F405" s="8"/>
      <c r="G405" s="8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ht="11.5" x14ac:dyDescent="0.15">
      <c r="A406" s="7"/>
      <c r="B406" s="7"/>
      <c r="C406" s="7"/>
      <c r="D406" s="8"/>
      <c r="E406" s="8"/>
      <c r="F406" s="8"/>
      <c r="G406" s="8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ht="11.5" x14ac:dyDescent="0.15">
      <c r="A407" s="7"/>
      <c r="B407" s="7"/>
      <c r="C407" s="7"/>
      <c r="D407" s="8"/>
      <c r="E407" s="8"/>
      <c r="F407" s="8"/>
      <c r="G407" s="8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ht="11.5" x14ac:dyDescent="0.15">
      <c r="A408" s="7"/>
      <c r="B408" s="7"/>
      <c r="C408" s="7"/>
      <c r="D408" s="8"/>
      <c r="E408" s="8"/>
      <c r="F408" s="8"/>
      <c r="G408" s="8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ht="11.5" x14ac:dyDescent="0.15">
      <c r="A409" s="7"/>
      <c r="B409" s="7"/>
      <c r="C409" s="7"/>
      <c r="D409" s="8"/>
      <c r="E409" s="8"/>
      <c r="F409" s="8"/>
      <c r="G409" s="8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ht="11.5" x14ac:dyDescent="0.15">
      <c r="A410" s="7"/>
      <c r="B410" s="7"/>
      <c r="C410" s="7"/>
      <c r="D410" s="8"/>
      <c r="E410" s="8"/>
      <c r="F410" s="8"/>
      <c r="G410" s="8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ht="11.5" x14ac:dyDescent="0.15">
      <c r="A411" s="7"/>
      <c r="B411" s="7"/>
      <c r="C411" s="7"/>
      <c r="D411" s="8"/>
      <c r="E411" s="8"/>
      <c r="F411" s="8"/>
      <c r="G411" s="8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ht="11.5" x14ac:dyDescent="0.15">
      <c r="A412" s="7"/>
      <c r="B412" s="7"/>
      <c r="C412" s="7"/>
      <c r="D412" s="8"/>
      <c r="E412" s="8"/>
      <c r="F412" s="8"/>
      <c r="G412" s="8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ht="11.5" x14ac:dyDescent="0.15">
      <c r="A413" s="7"/>
      <c r="B413" s="7"/>
      <c r="C413" s="7"/>
      <c r="D413" s="8"/>
      <c r="E413" s="8"/>
      <c r="F413" s="8"/>
      <c r="G413" s="8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ht="11.5" x14ac:dyDescent="0.15">
      <c r="A414" s="7"/>
      <c r="B414" s="7"/>
      <c r="C414" s="7"/>
      <c r="D414" s="8"/>
      <c r="E414" s="8"/>
      <c r="F414" s="8"/>
      <c r="G414" s="8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ht="11.5" x14ac:dyDescent="0.15">
      <c r="A415" s="7"/>
      <c r="B415" s="7"/>
      <c r="C415" s="7"/>
      <c r="D415" s="8"/>
      <c r="E415" s="8"/>
      <c r="F415" s="8"/>
      <c r="G415" s="8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ht="11.5" x14ac:dyDescent="0.15">
      <c r="A416" s="7"/>
      <c r="B416" s="7"/>
      <c r="C416" s="7"/>
      <c r="D416" s="8"/>
      <c r="E416" s="8"/>
      <c r="F416" s="8"/>
      <c r="G416" s="8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ht="11.5" x14ac:dyDescent="0.15">
      <c r="A417" s="7"/>
      <c r="B417" s="7"/>
      <c r="C417" s="7"/>
      <c r="D417" s="8"/>
      <c r="E417" s="8"/>
      <c r="F417" s="8"/>
      <c r="G417" s="8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ht="11.5" x14ac:dyDescent="0.15">
      <c r="A418" s="7"/>
      <c r="B418" s="7"/>
      <c r="C418" s="7"/>
      <c r="D418" s="8"/>
      <c r="E418" s="8"/>
      <c r="F418" s="8"/>
      <c r="G418" s="8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ht="11.5" x14ac:dyDescent="0.15">
      <c r="A419" s="7"/>
      <c r="B419" s="7"/>
      <c r="C419" s="7"/>
      <c r="D419" s="8"/>
      <c r="E419" s="8"/>
      <c r="F419" s="8"/>
      <c r="G419" s="8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ht="11.5" x14ac:dyDescent="0.15">
      <c r="A420" s="7"/>
      <c r="B420" s="7"/>
      <c r="C420" s="7"/>
      <c r="D420" s="8"/>
      <c r="E420" s="8"/>
      <c r="F420" s="8"/>
      <c r="G420" s="8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ht="11.5" x14ac:dyDescent="0.15">
      <c r="A421" s="7"/>
      <c r="B421" s="7"/>
      <c r="C421" s="7"/>
      <c r="D421" s="8"/>
      <c r="E421" s="8"/>
      <c r="F421" s="8"/>
      <c r="G421" s="8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ht="11.5" x14ac:dyDescent="0.15">
      <c r="A422" s="7"/>
      <c r="B422" s="7"/>
      <c r="C422" s="7"/>
      <c r="D422" s="8"/>
      <c r="E422" s="8"/>
      <c r="F422" s="8"/>
      <c r="G422" s="8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ht="11.5" x14ac:dyDescent="0.15">
      <c r="A423" s="7"/>
      <c r="B423" s="7"/>
      <c r="C423" s="7"/>
      <c r="D423" s="8"/>
      <c r="E423" s="8"/>
      <c r="F423" s="8"/>
      <c r="G423" s="8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ht="11.5" x14ac:dyDescent="0.15">
      <c r="A424" s="7"/>
      <c r="B424" s="7"/>
      <c r="C424" s="7"/>
      <c r="D424" s="8"/>
      <c r="E424" s="8"/>
      <c r="F424" s="8"/>
      <c r="G424" s="8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ht="11.5" x14ac:dyDescent="0.15">
      <c r="A425" s="7"/>
      <c r="B425" s="7"/>
      <c r="C425" s="7"/>
      <c r="D425" s="8"/>
      <c r="E425" s="8"/>
      <c r="F425" s="8"/>
      <c r="G425" s="8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ht="11.5" x14ac:dyDescent="0.15">
      <c r="A426" s="7"/>
      <c r="B426" s="7"/>
      <c r="C426" s="7"/>
      <c r="D426" s="8"/>
      <c r="E426" s="8"/>
      <c r="F426" s="8"/>
      <c r="G426" s="8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ht="11.5" x14ac:dyDescent="0.15">
      <c r="A427" s="7"/>
      <c r="B427" s="7"/>
      <c r="C427" s="7"/>
      <c r="D427" s="8"/>
      <c r="E427" s="8"/>
      <c r="F427" s="8"/>
      <c r="G427" s="8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ht="11.5" x14ac:dyDescent="0.15">
      <c r="A428" s="7"/>
      <c r="B428" s="7"/>
      <c r="C428" s="7"/>
      <c r="D428" s="8"/>
      <c r="E428" s="8"/>
      <c r="F428" s="8"/>
      <c r="G428" s="8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ht="11.5" x14ac:dyDescent="0.15">
      <c r="A429" s="7"/>
      <c r="B429" s="7"/>
      <c r="C429" s="7"/>
      <c r="D429" s="8"/>
      <c r="E429" s="8"/>
      <c r="F429" s="8"/>
      <c r="G429" s="8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ht="11.5" x14ac:dyDescent="0.15">
      <c r="A430" s="7"/>
      <c r="B430" s="7"/>
      <c r="C430" s="7"/>
      <c r="D430" s="8"/>
      <c r="E430" s="8"/>
      <c r="F430" s="8"/>
      <c r="G430" s="8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ht="11.5" x14ac:dyDescent="0.15">
      <c r="A431" s="7"/>
      <c r="B431" s="7"/>
      <c r="C431" s="7"/>
      <c r="D431" s="8"/>
      <c r="E431" s="8"/>
      <c r="F431" s="8"/>
      <c r="G431" s="8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ht="11.5" x14ac:dyDescent="0.15">
      <c r="A432" s="7"/>
      <c r="B432" s="7"/>
      <c r="C432" s="7"/>
      <c r="D432" s="8"/>
      <c r="E432" s="8"/>
      <c r="F432" s="8"/>
      <c r="G432" s="8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ht="11.5" x14ac:dyDescent="0.15">
      <c r="A433" s="7"/>
      <c r="B433" s="7"/>
      <c r="C433" s="7"/>
      <c r="D433" s="8"/>
      <c r="E433" s="8"/>
      <c r="F433" s="8"/>
      <c r="G433" s="8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ht="11.5" x14ac:dyDescent="0.15">
      <c r="A434" s="7"/>
      <c r="B434" s="7"/>
      <c r="C434" s="7"/>
      <c r="D434" s="8"/>
      <c r="E434" s="8"/>
      <c r="F434" s="8"/>
      <c r="G434" s="8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ht="11.5" x14ac:dyDescent="0.15">
      <c r="A435" s="7"/>
      <c r="B435" s="7"/>
      <c r="C435" s="7"/>
      <c r="D435" s="8"/>
      <c r="E435" s="8"/>
      <c r="F435" s="8"/>
      <c r="G435" s="8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ht="11.5" x14ac:dyDescent="0.15">
      <c r="A436" s="7"/>
      <c r="B436" s="7"/>
      <c r="C436" s="7"/>
      <c r="D436" s="8"/>
      <c r="E436" s="8"/>
      <c r="F436" s="8"/>
      <c r="G436" s="8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ht="11.5" x14ac:dyDescent="0.15">
      <c r="A437" s="7"/>
      <c r="B437" s="7"/>
      <c r="C437" s="7"/>
      <c r="D437" s="8"/>
      <c r="E437" s="8"/>
      <c r="F437" s="8"/>
      <c r="G437" s="8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ht="11.5" x14ac:dyDescent="0.15">
      <c r="A438" s="7"/>
      <c r="B438" s="7"/>
      <c r="C438" s="7"/>
      <c r="D438" s="8"/>
      <c r="E438" s="8"/>
      <c r="F438" s="8"/>
      <c r="G438" s="8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ht="11.5" x14ac:dyDescent="0.15">
      <c r="A439" s="7"/>
      <c r="B439" s="7"/>
      <c r="C439" s="7"/>
      <c r="D439" s="8"/>
      <c r="E439" s="8"/>
      <c r="F439" s="8"/>
      <c r="G439" s="8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ht="11.5" x14ac:dyDescent="0.15">
      <c r="A440" s="7"/>
      <c r="B440" s="7"/>
      <c r="C440" s="7"/>
      <c r="D440" s="8"/>
      <c r="E440" s="8"/>
      <c r="F440" s="8"/>
      <c r="G440" s="8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ht="11.5" x14ac:dyDescent="0.15">
      <c r="A441" s="7"/>
      <c r="B441" s="7"/>
      <c r="C441" s="7"/>
      <c r="D441" s="8"/>
      <c r="E441" s="8"/>
      <c r="F441" s="8"/>
      <c r="G441" s="8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ht="11.5" x14ac:dyDescent="0.15">
      <c r="A442" s="7"/>
      <c r="B442" s="7"/>
      <c r="C442" s="7"/>
      <c r="D442" s="8"/>
      <c r="E442" s="8"/>
      <c r="F442" s="8"/>
      <c r="G442" s="8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ht="11.5" x14ac:dyDescent="0.15">
      <c r="A443" s="7"/>
      <c r="B443" s="7"/>
      <c r="C443" s="7"/>
      <c r="D443" s="8"/>
      <c r="E443" s="8"/>
      <c r="F443" s="8"/>
      <c r="G443" s="8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ht="11.5" x14ac:dyDescent="0.15">
      <c r="A444" s="7"/>
      <c r="B444" s="7"/>
      <c r="C444" s="7"/>
      <c r="D444" s="8"/>
      <c r="E444" s="8"/>
      <c r="F444" s="8"/>
      <c r="G444" s="8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ht="11.5" x14ac:dyDescent="0.15">
      <c r="A445" s="7"/>
      <c r="B445" s="7"/>
      <c r="C445" s="7"/>
      <c r="D445" s="8"/>
      <c r="E445" s="8"/>
      <c r="F445" s="8"/>
      <c r="G445" s="8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ht="11.5" x14ac:dyDescent="0.15">
      <c r="A446" s="7"/>
      <c r="B446" s="7"/>
      <c r="C446" s="7"/>
      <c r="D446" s="8"/>
      <c r="E446" s="8"/>
      <c r="F446" s="8"/>
      <c r="G446" s="8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ht="11.5" x14ac:dyDescent="0.15">
      <c r="A447" s="7"/>
      <c r="B447" s="7"/>
      <c r="C447" s="7"/>
      <c r="D447" s="8"/>
      <c r="E447" s="8"/>
      <c r="F447" s="8"/>
      <c r="G447" s="8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ht="11.5" x14ac:dyDescent="0.15">
      <c r="A448" s="7"/>
      <c r="B448" s="7"/>
      <c r="C448" s="7"/>
      <c r="D448" s="8"/>
      <c r="E448" s="8"/>
      <c r="F448" s="8"/>
      <c r="G448" s="8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ht="11.5" x14ac:dyDescent="0.15">
      <c r="A449" s="7"/>
      <c r="B449" s="7"/>
      <c r="C449" s="7"/>
      <c r="D449" s="8"/>
      <c r="E449" s="8"/>
      <c r="F449" s="8"/>
      <c r="G449" s="8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ht="11.5" x14ac:dyDescent="0.15">
      <c r="A450" s="7"/>
      <c r="B450" s="7"/>
      <c r="C450" s="7"/>
      <c r="D450" s="8"/>
      <c r="E450" s="8"/>
      <c r="F450" s="8"/>
      <c r="G450" s="8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ht="11.5" x14ac:dyDescent="0.15">
      <c r="A451" s="7"/>
      <c r="B451" s="7"/>
      <c r="C451" s="7"/>
      <c r="D451" s="8"/>
      <c r="E451" s="8"/>
      <c r="F451" s="8"/>
      <c r="G451" s="8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ht="11.5" x14ac:dyDescent="0.15">
      <c r="A452" s="7"/>
      <c r="B452" s="7"/>
      <c r="C452" s="7"/>
      <c r="D452" s="8"/>
      <c r="E452" s="8"/>
      <c r="F452" s="8"/>
      <c r="G452" s="8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ht="11.5" x14ac:dyDescent="0.15">
      <c r="A453" s="7"/>
      <c r="B453" s="7"/>
      <c r="C453" s="7"/>
      <c r="D453" s="8"/>
      <c r="E453" s="8"/>
      <c r="F453" s="8"/>
      <c r="G453" s="8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ht="11.5" x14ac:dyDescent="0.15">
      <c r="A454" s="7"/>
      <c r="B454" s="7"/>
      <c r="C454" s="7"/>
      <c r="D454" s="8"/>
      <c r="E454" s="8"/>
      <c r="F454" s="8"/>
      <c r="G454" s="8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ht="11.5" x14ac:dyDescent="0.15">
      <c r="A455" s="7"/>
      <c r="B455" s="7"/>
      <c r="C455" s="7"/>
      <c r="D455" s="8"/>
      <c r="E455" s="8"/>
      <c r="F455" s="8"/>
      <c r="G455" s="8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ht="11.5" x14ac:dyDescent="0.15">
      <c r="A456" s="7"/>
      <c r="B456" s="7"/>
      <c r="C456" s="7"/>
      <c r="D456" s="8"/>
      <c r="E456" s="8"/>
      <c r="F456" s="8"/>
      <c r="G456" s="8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ht="11.5" x14ac:dyDescent="0.15">
      <c r="A457" s="7"/>
      <c r="B457" s="7"/>
      <c r="C457" s="7"/>
      <c r="D457" s="8"/>
      <c r="E457" s="8"/>
      <c r="F457" s="8"/>
      <c r="G457" s="8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ht="11.5" x14ac:dyDescent="0.15">
      <c r="A458" s="7"/>
      <c r="B458" s="7"/>
      <c r="C458" s="7"/>
      <c r="D458" s="8"/>
      <c r="E458" s="8"/>
      <c r="F458" s="8"/>
      <c r="G458" s="8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ht="11.5" x14ac:dyDescent="0.15">
      <c r="A459" s="7"/>
      <c r="B459" s="7"/>
      <c r="C459" s="7"/>
      <c r="D459" s="8"/>
      <c r="E459" s="8"/>
      <c r="F459" s="8"/>
      <c r="G459" s="8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ht="11.5" x14ac:dyDescent="0.15">
      <c r="A460" s="7"/>
      <c r="B460" s="7"/>
      <c r="C460" s="7"/>
      <c r="D460" s="8"/>
      <c r="E460" s="8"/>
      <c r="F460" s="8"/>
      <c r="G460" s="8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ht="11.5" x14ac:dyDescent="0.15">
      <c r="A461" s="7"/>
      <c r="B461" s="7"/>
      <c r="C461" s="7"/>
      <c r="D461" s="8"/>
      <c r="E461" s="8"/>
      <c r="F461" s="8"/>
      <c r="G461" s="8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ht="11.5" x14ac:dyDescent="0.15">
      <c r="A462" s="7"/>
      <c r="B462" s="7"/>
      <c r="C462" s="7"/>
      <c r="D462" s="8"/>
      <c r="E462" s="8"/>
      <c r="F462" s="8"/>
      <c r="G462" s="8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ht="11.5" x14ac:dyDescent="0.15">
      <c r="A463" s="7"/>
      <c r="B463" s="7"/>
      <c r="C463" s="7"/>
      <c r="D463" s="8"/>
      <c r="E463" s="8"/>
      <c r="F463" s="8"/>
      <c r="G463" s="8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ht="11.5" x14ac:dyDescent="0.15">
      <c r="A464" s="7"/>
      <c r="B464" s="7"/>
      <c r="C464" s="7"/>
      <c r="D464" s="8"/>
      <c r="E464" s="8"/>
      <c r="F464" s="8"/>
      <c r="G464" s="8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ht="11.5" x14ac:dyDescent="0.15">
      <c r="A465" s="7"/>
      <c r="B465" s="7"/>
      <c r="C465" s="7"/>
      <c r="D465" s="8"/>
      <c r="E465" s="8"/>
      <c r="F465" s="8"/>
      <c r="G465" s="8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ht="11.5" x14ac:dyDescent="0.15">
      <c r="A466" s="7"/>
      <c r="B466" s="7"/>
      <c r="C466" s="7"/>
      <c r="D466" s="8"/>
      <c r="E466" s="8"/>
      <c r="F466" s="8"/>
      <c r="G466" s="8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ht="11.5" x14ac:dyDescent="0.15">
      <c r="A467" s="7"/>
      <c r="B467" s="7"/>
      <c r="C467" s="7"/>
      <c r="D467" s="8"/>
      <c r="E467" s="8"/>
      <c r="F467" s="8"/>
      <c r="G467" s="8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ht="11.5" x14ac:dyDescent="0.15">
      <c r="A468" s="7"/>
      <c r="B468" s="7"/>
      <c r="C468" s="7"/>
      <c r="D468" s="8"/>
      <c r="E468" s="8"/>
      <c r="F468" s="8"/>
      <c r="G468" s="8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ht="11.5" x14ac:dyDescent="0.15">
      <c r="A469" s="7"/>
      <c r="B469" s="7"/>
      <c r="C469" s="7"/>
      <c r="D469" s="8"/>
      <c r="E469" s="8"/>
      <c r="F469" s="8"/>
      <c r="G469" s="8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ht="11.5" x14ac:dyDescent="0.15">
      <c r="A470" s="7"/>
      <c r="B470" s="7"/>
      <c r="C470" s="7"/>
      <c r="D470" s="8"/>
      <c r="E470" s="8"/>
      <c r="F470" s="8"/>
      <c r="G470" s="8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ht="11.5" x14ac:dyDescent="0.15">
      <c r="A471" s="7"/>
      <c r="B471" s="7"/>
      <c r="C471" s="7"/>
      <c r="D471" s="8"/>
      <c r="E471" s="8"/>
      <c r="F471" s="8"/>
      <c r="G471" s="8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ht="11.5" x14ac:dyDescent="0.15">
      <c r="A472" s="7"/>
      <c r="B472" s="7"/>
      <c r="C472" s="7"/>
      <c r="D472" s="8"/>
      <c r="E472" s="8"/>
      <c r="F472" s="8"/>
      <c r="G472" s="8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ht="11.5" x14ac:dyDescent="0.15">
      <c r="A473" s="7"/>
      <c r="B473" s="7"/>
      <c r="C473" s="7"/>
      <c r="D473" s="8"/>
      <c r="E473" s="8"/>
      <c r="F473" s="8"/>
      <c r="G473" s="8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ht="11.5" x14ac:dyDescent="0.15">
      <c r="A474" s="7"/>
      <c r="B474" s="7"/>
      <c r="C474" s="7"/>
      <c r="D474" s="8"/>
      <c r="E474" s="8"/>
      <c r="F474" s="8"/>
      <c r="G474" s="8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ht="11.5" x14ac:dyDescent="0.15">
      <c r="A475" s="7"/>
      <c r="B475" s="7"/>
      <c r="C475" s="7"/>
      <c r="D475" s="8"/>
      <c r="E475" s="8"/>
      <c r="F475" s="8"/>
      <c r="G475" s="8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ht="11.5" x14ac:dyDescent="0.15">
      <c r="A476" s="7"/>
      <c r="B476" s="7"/>
      <c r="C476" s="7"/>
      <c r="D476" s="8"/>
      <c r="E476" s="8"/>
      <c r="F476" s="8"/>
      <c r="G476" s="8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ht="11.5" x14ac:dyDescent="0.15">
      <c r="A477" s="7"/>
      <c r="B477" s="7"/>
      <c r="C477" s="7"/>
      <c r="D477" s="8"/>
      <c r="E477" s="8"/>
      <c r="F477" s="8"/>
      <c r="G477" s="8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ht="11.5" x14ac:dyDescent="0.15">
      <c r="A478" s="7"/>
      <c r="B478" s="7"/>
      <c r="C478" s="7"/>
      <c r="D478" s="8"/>
      <c r="E478" s="8"/>
      <c r="F478" s="8"/>
      <c r="G478" s="8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ht="11.5" x14ac:dyDescent="0.15">
      <c r="A479" s="7"/>
      <c r="B479" s="7"/>
      <c r="C479" s="7"/>
      <c r="D479" s="8"/>
      <c r="E479" s="8"/>
      <c r="F479" s="8"/>
      <c r="G479" s="8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ht="11.5" x14ac:dyDescent="0.15">
      <c r="A480" s="7"/>
      <c r="B480" s="7"/>
      <c r="C480" s="7"/>
      <c r="D480" s="8"/>
      <c r="E480" s="8"/>
      <c r="F480" s="8"/>
      <c r="G480" s="8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ht="11.5" x14ac:dyDescent="0.15">
      <c r="A481" s="7"/>
      <c r="B481" s="7"/>
      <c r="C481" s="7"/>
      <c r="D481" s="8"/>
      <c r="E481" s="8"/>
      <c r="F481" s="8"/>
      <c r="G481" s="8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ht="11.5" x14ac:dyDescent="0.15">
      <c r="A482" s="7"/>
      <c r="B482" s="7"/>
      <c r="C482" s="7"/>
      <c r="D482" s="8"/>
      <c r="E482" s="8"/>
      <c r="F482" s="8"/>
      <c r="G482" s="8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ht="11.5" x14ac:dyDescent="0.15">
      <c r="A483" s="7"/>
      <c r="B483" s="7"/>
      <c r="C483" s="7"/>
      <c r="D483" s="8"/>
      <c r="E483" s="8"/>
      <c r="F483" s="8"/>
      <c r="G483" s="8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ht="11.5" x14ac:dyDescent="0.15">
      <c r="A484" s="7"/>
      <c r="B484" s="7"/>
      <c r="C484" s="7"/>
      <c r="D484" s="8"/>
      <c r="E484" s="8"/>
      <c r="F484" s="8"/>
      <c r="G484" s="8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ht="11.5" x14ac:dyDescent="0.15">
      <c r="A485" s="7"/>
      <c r="B485" s="7"/>
      <c r="C485" s="7"/>
      <c r="D485" s="8"/>
      <c r="E485" s="8"/>
      <c r="F485" s="8"/>
      <c r="G485" s="8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ht="11.5" x14ac:dyDescent="0.15">
      <c r="A486" s="7"/>
      <c r="B486" s="7"/>
      <c r="C486" s="7"/>
      <c r="D486" s="8"/>
      <c r="E486" s="8"/>
      <c r="F486" s="8"/>
      <c r="G486" s="8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ht="11.5" x14ac:dyDescent="0.15">
      <c r="A487" s="7"/>
      <c r="B487" s="7"/>
      <c r="C487" s="7"/>
      <c r="D487" s="8"/>
      <c r="E487" s="8"/>
      <c r="F487" s="8"/>
      <c r="G487" s="8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ht="11.5" x14ac:dyDescent="0.15">
      <c r="A488" s="7"/>
      <c r="B488" s="7"/>
      <c r="C488" s="7"/>
      <c r="D488" s="8"/>
      <c r="E488" s="8"/>
      <c r="F488" s="8"/>
      <c r="G488" s="8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ht="11.5" x14ac:dyDescent="0.15">
      <c r="A489" s="7"/>
      <c r="B489" s="7"/>
      <c r="C489" s="7"/>
      <c r="D489" s="8"/>
      <c r="E489" s="8"/>
      <c r="F489" s="8"/>
      <c r="G489" s="8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ht="11.5" x14ac:dyDescent="0.15">
      <c r="A490" s="7"/>
      <c r="B490" s="7"/>
      <c r="C490" s="7"/>
      <c r="D490" s="8"/>
      <c r="E490" s="8"/>
      <c r="F490" s="8"/>
      <c r="G490" s="8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ht="11.5" x14ac:dyDescent="0.15">
      <c r="A491" s="7"/>
      <c r="B491" s="7"/>
      <c r="C491" s="7"/>
      <c r="D491" s="8"/>
      <c r="E491" s="8"/>
      <c r="F491" s="8"/>
      <c r="G491" s="8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ht="11.5" x14ac:dyDescent="0.15">
      <c r="A492" s="7"/>
      <c r="B492" s="7"/>
      <c r="C492" s="7"/>
      <c r="D492" s="8"/>
      <c r="E492" s="8"/>
      <c r="F492" s="8"/>
      <c r="G492" s="8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ht="11.5" x14ac:dyDescent="0.15">
      <c r="A493" s="7"/>
      <c r="B493" s="7"/>
      <c r="C493" s="7"/>
      <c r="D493" s="8"/>
      <c r="E493" s="8"/>
      <c r="F493" s="8"/>
      <c r="G493" s="8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ht="11.5" x14ac:dyDescent="0.15">
      <c r="A494" s="7"/>
      <c r="B494" s="7"/>
      <c r="C494" s="7"/>
      <c r="D494" s="8"/>
      <c r="E494" s="8"/>
      <c r="F494" s="8"/>
      <c r="G494" s="8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ht="11.5" x14ac:dyDescent="0.15">
      <c r="A495" s="7"/>
      <c r="B495" s="7"/>
      <c r="C495" s="7"/>
      <c r="D495" s="8"/>
      <c r="E495" s="8"/>
      <c r="F495" s="8"/>
      <c r="G495" s="8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ht="11.5" x14ac:dyDescent="0.15">
      <c r="A496" s="7"/>
      <c r="B496" s="7"/>
      <c r="C496" s="7"/>
      <c r="D496" s="8"/>
      <c r="E496" s="8"/>
      <c r="F496" s="8"/>
      <c r="G496" s="8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ht="11.5" x14ac:dyDescent="0.15">
      <c r="A497" s="7"/>
      <c r="B497" s="7"/>
      <c r="C497" s="7"/>
      <c r="D497" s="8"/>
      <c r="E497" s="8"/>
      <c r="F497" s="8"/>
      <c r="G497" s="8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ht="11.5" x14ac:dyDescent="0.15">
      <c r="A498" s="7"/>
      <c r="B498" s="7"/>
      <c r="C498" s="7"/>
      <c r="D498" s="8"/>
      <c r="E498" s="8"/>
      <c r="F498" s="8"/>
      <c r="G498" s="8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ht="11.5" x14ac:dyDescent="0.15">
      <c r="A499" s="7"/>
      <c r="B499" s="7"/>
      <c r="C499" s="7"/>
      <c r="D499" s="8"/>
      <c r="E499" s="8"/>
      <c r="F499" s="8"/>
      <c r="G499" s="8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ht="11.5" x14ac:dyDescent="0.15">
      <c r="A500" s="7"/>
      <c r="B500" s="7"/>
      <c r="C500" s="7"/>
      <c r="D500" s="8"/>
      <c r="E500" s="8"/>
      <c r="F500" s="8"/>
      <c r="G500" s="8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ht="11.5" x14ac:dyDescent="0.15">
      <c r="A501" s="7"/>
      <c r="B501" s="7"/>
      <c r="C501" s="7"/>
      <c r="D501" s="8"/>
      <c r="E501" s="8"/>
      <c r="F501" s="8"/>
      <c r="G501" s="8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ht="11.5" x14ac:dyDescent="0.15">
      <c r="A502" s="7"/>
      <c r="B502" s="7"/>
      <c r="C502" s="7"/>
      <c r="D502" s="8"/>
      <c r="E502" s="8"/>
      <c r="F502" s="8"/>
      <c r="G502" s="8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ht="11.5" x14ac:dyDescent="0.15">
      <c r="A503" s="7"/>
      <c r="B503" s="7"/>
      <c r="C503" s="7"/>
      <c r="D503" s="8"/>
      <c r="E503" s="8"/>
      <c r="F503" s="8"/>
      <c r="G503" s="8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ht="11.5" x14ac:dyDescent="0.15">
      <c r="A504" s="7"/>
      <c r="B504" s="7"/>
      <c r="C504" s="7"/>
      <c r="D504" s="8"/>
      <c r="E504" s="8"/>
      <c r="F504" s="8"/>
      <c r="G504" s="8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ht="11.5" x14ac:dyDescent="0.15">
      <c r="A505" s="7"/>
      <c r="B505" s="7"/>
      <c r="C505" s="7"/>
      <c r="D505" s="8"/>
      <c r="E505" s="8"/>
      <c r="F505" s="8"/>
      <c r="G505" s="8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ht="11.5" x14ac:dyDescent="0.15">
      <c r="A506" s="7"/>
      <c r="B506" s="7"/>
      <c r="C506" s="7"/>
      <c r="D506" s="8"/>
      <c r="E506" s="8"/>
      <c r="F506" s="8"/>
      <c r="G506" s="8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ht="11.5" x14ac:dyDescent="0.15">
      <c r="A507" s="7"/>
      <c r="B507" s="7"/>
      <c r="C507" s="7"/>
      <c r="D507" s="8"/>
      <c r="E507" s="8"/>
      <c r="F507" s="8"/>
      <c r="G507" s="8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ht="11.5" x14ac:dyDescent="0.15">
      <c r="A508" s="7"/>
      <c r="B508" s="7"/>
      <c r="C508" s="7"/>
      <c r="D508" s="8"/>
      <c r="E508" s="8"/>
      <c r="F508" s="8"/>
      <c r="G508" s="8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ht="11.5" x14ac:dyDescent="0.15">
      <c r="A509" s="7"/>
      <c r="B509" s="7"/>
      <c r="C509" s="7"/>
      <c r="D509" s="8"/>
      <c r="E509" s="8"/>
      <c r="F509" s="8"/>
      <c r="G509" s="8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ht="11.5" x14ac:dyDescent="0.15">
      <c r="A510" s="7"/>
      <c r="B510" s="7"/>
      <c r="C510" s="7"/>
      <c r="D510" s="8"/>
      <c r="E510" s="8"/>
      <c r="F510" s="8"/>
      <c r="G510" s="8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ht="11.5" x14ac:dyDescent="0.15">
      <c r="A511" s="7"/>
      <c r="B511" s="7"/>
      <c r="C511" s="7"/>
      <c r="D511" s="8"/>
      <c r="E511" s="8"/>
      <c r="F511" s="8"/>
      <c r="G511" s="8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ht="11.5" x14ac:dyDescent="0.15">
      <c r="A512" s="7"/>
      <c r="B512" s="7"/>
      <c r="C512" s="7"/>
      <c r="D512" s="8"/>
      <c r="E512" s="8"/>
      <c r="F512" s="8"/>
      <c r="G512" s="8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ht="11.5" x14ac:dyDescent="0.15">
      <c r="A513" s="7"/>
      <c r="B513" s="7"/>
      <c r="C513" s="7"/>
      <c r="D513" s="8"/>
      <c r="E513" s="8"/>
      <c r="F513" s="8"/>
      <c r="G513" s="8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ht="11.5" x14ac:dyDescent="0.15">
      <c r="A514" s="7"/>
      <c r="B514" s="7"/>
      <c r="C514" s="7"/>
      <c r="D514" s="8"/>
      <c r="E514" s="8"/>
      <c r="F514" s="8"/>
      <c r="G514" s="8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ht="11.5" x14ac:dyDescent="0.15">
      <c r="A515" s="7"/>
      <c r="B515" s="7"/>
      <c r="C515" s="7"/>
      <c r="D515" s="8"/>
      <c r="E515" s="8"/>
      <c r="F515" s="8"/>
      <c r="G515" s="8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ht="11.5" x14ac:dyDescent="0.15">
      <c r="A516" s="7"/>
      <c r="B516" s="7"/>
      <c r="C516" s="7"/>
      <c r="D516" s="8"/>
      <c r="E516" s="8"/>
      <c r="F516" s="8"/>
      <c r="G516" s="8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ht="11.5" x14ac:dyDescent="0.15">
      <c r="A517" s="7"/>
      <c r="B517" s="7"/>
      <c r="C517" s="7"/>
      <c r="D517" s="8"/>
      <c r="E517" s="8"/>
      <c r="F517" s="8"/>
      <c r="G517" s="8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ht="11.5" x14ac:dyDescent="0.15">
      <c r="A518" s="7"/>
      <c r="B518" s="7"/>
      <c r="C518" s="7"/>
      <c r="D518" s="8"/>
      <c r="E518" s="8"/>
      <c r="F518" s="8"/>
      <c r="G518" s="8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ht="11.5" x14ac:dyDescent="0.15">
      <c r="A519" s="7"/>
      <c r="B519" s="7"/>
      <c r="C519" s="7"/>
      <c r="D519" s="8"/>
      <c r="E519" s="8"/>
      <c r="F519" s="8"/>
      <c r="G519" s="8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ht="11.5" x14ac:dyDescent="0.15">
      <c r="A520" s="7"/>
      <c r="B520" s="7"/>
      <c r="C520" s="7"/>
      <c r="D520" s="8"/>
      <c r="E520" s="8"/>
      <c r="F520" s="8"/>
      <c r="G520" s="8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ht="11.5" x14ac:dyDescent="0.15">
      <c r="A521" s="7"/>
      <c r="B521" s="7"/>
      <c r="C521" s="7"/>
      <c r="D521" s="8"/>
      <c r="E521" s="8"/>
      <c r="F521" s="8"/>
      <c r="G521" s="8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ht="11.5" x14ac:dyDescent="0.15">
      <c r="A522" s="7"/>
      <c r="B522" s="7"/>
      <c r="C522" s="7"/>
      <c r="D522" s="8"/>
      <c r="E522" s="8"/>
      <c r="F522" s="8"/>
      <c r="G522" s="8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ht="11.5" x14ac:dyDescent="0.15">
      <c r="A523" s="7"/>
      <c r="B523" s="7"/>
      <c r="C523" s="7"/>
      <c r="D523" s="8"/>
      <c r="E523" s="8"/>
      <c r="F523" s="8"/>
      <c r="G523" s="8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ht="11.5" x14ac:dyDescent="0.15">
      <c r="A524" s="7"/>
      <c r="B524" s="7"/>
      <c r="C524" s="7"/>
      <c r="D524" s="8"/>
      <c r="E524" s="8"/>
      <c r="F524" s="8"/>
      <c r="G524" s="8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ht="11.5" x14ac:dyDescent="0.15">
      <c r="A525" s="7"/>
      <c r="B525" s="7"/>
      <c r="C525" s="7"/>
      <c r="D525" s="8"/>
      <c r="E525" s="8"/>
      <c r="F525" s="8"/>
      <c r="G525" s="8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ht="11.5" x14ac:dyDescent="0.15">
      <c r="A526" s="7"/>
      <c r="B526" s="7"/>
      <c r="C526" s="7"/>
      <c r="D526" s="8"/>
      <c r="E526" s="8"/>
      <c r="F526" s="8"/>
      <c r="G526" s="8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ht="11.5" x14ac:dyDescent="0.15">
      <c r="A527" s="7"/>
      <c r="B527" s="7"/>
      <c r="C527" s="7"/>
      <c r="D527" s="8"/>
      <c r="E527" s="8"/>
      <c r="F527" s="8"/>
      <c r="G527" s="8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ht="11.5" x14ac:dyDescent="0.15">
      <c r="A528" s="7"/>
      <c r="B528" s="7"/>
      <c r="C528" s="7"/>
      <c r="D528" s="8"/>
      <c r="E528" s="8"/>
      <c r="F528" s="8"/>
      <c r="G528" s="8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ht="11.5" x14ac:dyDescent="0.15">
      <c r="A529" s="7"/>
      <c r="B529" s="7"/>
      <c r="C529" s="7"/>
      <c r="D529" s="8"/>
      <c r="E529" s="8"/>
      <c r="F529" s="8"/>
      <c r="G529" s="8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ht="11.5" x14ac:dyDescent="0.15">
      <c r="A530" s="7"/>
      <c r="B530" s="7"/>
      <c r="C530" s="7"/>
      <c r="D530" s="8"/>
      <c r="E530" s="8"/>
      <c r="F530" s="8"/>
      <c r="G530" s="8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ht="11.5" x14ac:dyDescent="0.15">
      <c r="A531" s="7"/>
      <c r="B531" s="7"/>
      <c r="C531" s="7"/>
      <c r="D531" s="8"/>
      <c r="E531" s="8"/>
      <c r="F531" s="8"/>
      <c r="G531" s="8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ht="11.5" x14ac:dyDescent="0.15">
      <c r="A532" s="7"/>
      <c r="B532" s="7"/>
      <c r="C532" s="7"/>
      <c r="D532" s="8"/>
      <c r="E532" s="8"/>
      <c r="F532" s="8"/>
      <c r="G532" s="8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ht="11.5" x14ac:dyDescent="0.15">
      <c r="A533" s="7"/>
      <c r="B533" s="7"/>
      <c r="C533" s="7"/>
      <c r="D533" s="8"/>
      <c r="E533" s="8"/>
      <c r="F533" s="8"/>
      <c r="G533" s="8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ht="11.5" x14ac:dyDescent="0.15">
      <c r="A534" s="7"/>
      <c r="B534" s="7"/>
      <c r="C534" s="7"/>
      <c r="D534" s="8"/>
      <c r="E534" s="8"/>
      <c r="F534" s="8"/>
      <c r="G534" s="8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ht="11.5" x14ac:dyDescent="0.15">
      <c r="A535" s="7"/>
      <c r="B535" s="7"/>
      <c r="C535" s="7"/>
      <c r="D535" s="8"/>
      <c r="E535" s="8"/>
      <c r="F535" s="8"/>
      <c r="G535" s="8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ht="11.5" x14ac:dyDescent="0.15">
      <c r="A536" s="7"/>
      <c r="B536" s="7"/>
      <c r="C536" s="7"/>
      <c r="D536" s="8"/>
      <c r="E536" s="8"/>
      <c r="F536" s="8"/>
      <c r="G536" s="8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ht="11.5" x14ac:dyDescent="0.15">
      <c r="A537" s="7"/>
      <c r="B537" s="7"/>
      <c r="C537" s="7"/>
      <c r="D537" s="8"/>
      <c r="E537" s="8"/>
      <c r="F537" s="8"/>
      <c r="G537" s="8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ht="11.5" x14ac:dyDescent="0.15">
      <c r="A538" s="7"/>
      <c r="B538" s="7"/>
      <c r="C538" s="7"/>
      <c r="D538" s="8"/>
      <c r="E538" s="8"/>
      <c r="F538" s="8"/>
      <c r="G538" s="8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ht="11.5" x14ac:dyDescent="0.15">
      <c r="A539" s="7"/>
      <c r="B539" s="7"/>
      <c r="C539" s="7"/>
      <c r="D539" s="8"/>
      <c r="E539" s="8"/>
      <c r="F539" s="8"/>
      <c r="G539" s="8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ht="11.5" x14ac:dyDescent="0.15">
      <c r="A540" s="7"/>
      <c r="B540" s="7"/>
      <c r="C540" s="7"/>
      <c r="D540" s="8"/>
      <c r="E540" s="8"/>
      <c r="F540" s="8"/>
      <c r="G540" s="8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ht="11.5" x14ac:dyDescent="0.15">
      <c r="A541" s="7"/>
      <c r="B541" s="7"/>
      <c r="C541" s="7"/>
      <c r="D541" s="8"/>
      <c r="E541" s="8"/>
      <c r="F541" s="8"/>
      <c r="G541" s="8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ht="11.5" x14ac:dyDescent="0.15">
      <c r="A542" s="7"/>
      <c r="B542" s="7"/>
      <c r="C542" s="7"/>
      <c r="D542" s="8"/>
      <c r="E542" s="8"/>
      <c r="F542" s="8"/>
      <c r="G542" s="8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ht="11.5" x14ac:dyDescent="0.15">
      <c r="A543" s="7"/>
      <c r="B543" s="7"/>
      <c r="C543" s="7"/>
      <c r="D543" s="8"/>
      <c r="E543" s="8"/>
      <c r="F543" s="8"/>
      <c r="G543" s="8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ht="11.5" x14ac:dyDescent="0.15">
      <c r="A544" s="7"/>
      <c r="B544" s="7"/>
      <c r="C544" s="7"/>
      <c r="D544" s="8"/>
      <c r="E544" s="8"/>
      <c r="F544" s="8"/>
      <c r="G544" s="8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ht="11.5" x14ac:dyDescent="0.15">
      <c r="A545" s="7"/>
      <c r="B545" s="7"/>
      <c r="C545" s="7"/>
      <c r="D545" s="8"/>
      <c r="E545" s="8"/>
      <c r="F545" s="8"/>
      <c r="G545" s="8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ht="11.5" x14ac:dyDescent="0.15">
      <c r="A546" s="7"/>
      <c r="B546" s="7"/>
      <c r="C546" s="7"/>
      <c r="D546" s="8"/>
      <c r="E546" s="8"/>
      <c r="F546" s="8"/>
      <c r="G546" s="8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ht="11.5" x14ac:dyDescent="0.15">
      <c r="A547" s="7"/>
      <c r="B547" s="7"/>
      <c r="C547" s="7"/>
      <c r="D547" s="8"/>
      <c r="E547" s="8"/>
      <c r="F547" s="8"/>
      <c r="G547" s="8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ht="11.5" x14ac:dyDescent="0.15">
      <c r="A548" s="7"/>
      <c r="B548" s="7"/>
      <c r="C548" s="7"/>
      <c r="D548" s="8"/>
      <c r="E548" s="8"/>
      <c r="F548" s="8"/>
      <c r="G548" s="8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ht="11.5" x14ac:dyDescent="0.15">
      <c r="A549" s="7"/>
      <c r="B549" s="7"/>
      <c r="C549" s="7"/>
      <c r="D549" s="8"/>
      <c r="E549" s="8"/>
      <c r="F549" s="8"/>
      <c r="G549" s="8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ht="11.5" x14ac:dyDescent="0.15">
      <c r="A550" s="7"/>
      <c r="B550" s="7"/>
      <c r="C550" s="7"/>
      <c r="D550" s="8"/>
      <c r="E550" s="8"/>
      <c r="F550" s="8"/>
      <c r="G550" s="8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ht="11.5" x14ac:dyDescent="0.15">
      <c r="A551" s="7"/>
      <c r="B551" s="7"/>
      <c r="C551" s="7"/>
      <c r="D551" s="8"/>
      <c r="E551" s="8"/>
      <c r="F551" s="8"/>
      <c r="G551" s="8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ht="11.5" x14ac:dyDescent="0.15">
      <c r="A552" s="7"/>
      <c r="B552" s="7"/>
      <c r="C552" s="7"/>
      <c r="D552" s="8"/>
      <c r="E552" s="8"/>
      <c r="F552" s="8"/>
      <c r="G552" s="8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ht="11.5" x14ac:dyDescent="0.15">
      <c r="A553" s="7"/>
      <c r="B553" s="7"/>
      <c r="C553" s="7"/>
      <c r="D553" s="8"/>
      <c r="E553" s="8"/>
      <c r="F553" s="8"/>
      <c r="G553" s="8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ht="11.5" x14ac:dyDescent="0.15">
      <c r="A554" s="7"/>
      <c r="B554" s="7"/>
      <c r="C554" s="7"/>
      <c r="D554" s="8"/>
      <c r="E554" s="8"/>
      <c r="F554" s="8"/>
      <c r="G554" s="8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ht="11.5" x14ac:dyDescent="0.15">
      <c r="A555" s="7"/>
      <c r="B555" s="7"/>
      <c r="C555" s="7"/>
      <c r="D555" s="8"/>
      <c r="E555" s="8"/>
      <c r="F555" s="8"/>
      <c r="G555" s="8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ht="11.5" x14ac:dyDescent="0.15">
      <c r="A556" s="7"/>
      <c r="B556" s="7"/>
      <c r="C556" s="7"/>
      <c r="D556" s="8"/>
      <c r="E556" s="8"/>
      <c r="F556" s="8"/>
      <c r="G556" s="8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ht="11.5" x14ac:dyDescent="0.15">
      <c r="A557" s="7"/>
      <c r="B557" s="7"/>
      <c r="C557" s="7"/>
      <c r="D557" s="8"/>
      <c r="E557" s="8"/>
      <c r="F557" s="8"/>
      <c r="G557" s="8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ht="11.5" x14ac:dyDescent="0.15">
      <c r="A558" s="7"/>
      <c r="B558" s="7"/>
      <c r="C558" s="7"/>
      <c r="D558" s="8"/>
      <c r="E558" s="8"/>
      <c r="F558" s="8"/>
      <c r="G558" s="8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ht="11.5" x14ac:dyDescent="0.15">
      <c r="A559" s="7"/>
      <c r="B559" s="7"/>
      <c r="C559" s="7"/>
      <c r="D559" s="8"/>
      <c r="E559" s="8"/>
      <c r="F559" s="8"/>
      <c r="G559" s="8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ht="11.5" x14ac:dyDescent="0.15">
      <c r="A560" s="7"/>
      <c r="B560" s="7"/>
      <c r="C560" s="7"/>
      <c r="D560" s="8"/>
      <c r="E560" s="8"/>
      <c r="F560" s="8"/>
      <c r="G560" s="8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ht="11.5" x14ac:dyDescent="0.15">
      <c r="A561" s="7"/>
      <c r="B561" s="7"/>
      <c r="C561" s="7"/>
      <c r="D561" s="8"/>
      <c r="E561" s="8"/>
      <c r="F561" s="8"/>
      <c r="G561" s="8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ht="11.5" x14ac:dyDescent="0.15">
      <c r="A562" s="7"/>
      <c r="B562" s="7"/>
      <c r="C562" s="7"/>
      <c r="D562" s="8"/>
      <c r="E562" s="8"/>
      <c r="F562" s="8"/>
      <c r="G562" s="8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11.5" x14ac:dyDescent="0.15">
      <c r="A563" s="7"/>
      <c r="B563" s="7"/>
      <c r="C563" s="7"/>
      <c r="D563" s="8"/>
      <c r="E563" s="8"/>
      <c r="F563" s="8"/>
      <c r="G563" s="8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11.5" x14ac:dyDescent="0.15">
      <c r="A564" s="7"/>
      <c r="B564" s="7"/>
      <c r="C564" s="7"/>
      <c r="D564" s="8"/>
      <c r="E564" s="8"/>
      <c r="F564" s="8"/>
      <c r="G564" s="8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11.5" x14ac:dyDescent="0.15">
      <c r="A565" s="7"/>
      <c r="B565" s="7"/>
      <c r="C565" s="7"/>
      <c r="D565" s="8"/>
      <c r="E565" s="8"/>
      <c r="F565" s="8"/>
      <c r="G565" s="8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11.5" x14ac:dyDescent="0.15">
      <c r="A566" s="7"/>
      <c r="B566" s="7"/>
      <c r="C566" s="7"/>
      <c r="D566" s="8"/>
      <c r="E566" s="8"/>
      <c r="F566" s="8"/>
      <c r="G566" s="8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1.5" x14ac:dyDescent="0.15">
      <c r="A567" s="7"/>
      <c r="B567" s="7"/>
      <c r="C567" s="7"/>
      <c r="D567" s="8"/>
      <c r="E567" s="8"/>
      <c r="F567" s="8"/>
      <c r="G567" s="8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1.5" x14ac:dyDescent="0.15">
      <c r="A568" s="7"/>
      <c r="B568" s="7"/>
      <c r="C568" s="7"/>
      <c r="D568" s="8"/>
      <c r="E568" s="8"/>
      <c r="F568" s="8"/>
      <c r="G568" s="8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1.5" x14ac:dyDescent="0.15">
      <c r="A569" s="7"/>
      <c r="B569" s="7"/>
      <c r="C569" s="7"/>
      <c r="D569" s="8"/>
      <c r="E569" s="8"/>
      <c r="F569" s="8"/>
      <c r="G569" s="8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1.5" x14ac:dyDescent="0.15">
      <c r="A570" s="7"/>
      <c r="B570" s="7"/>
      <c r="C570" s="7"/>
      <c r="D570" s="8"/>
      <c r="E570" s="8"/>
      <c r="F570" s="8"/>
      <c r="G570" s="8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1.5" x14ac:dyDescent="0.15">
      <c r="A571" s="7"/>
      <c r="B571" s="7"/>
      <c r="C571" s="7"/>
      <c r="D571" s="8"/>
      <c r="E571" s="8"/>
      <c r="F571" s="8"/>
      <c r="G571" s="8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1.5" x14ac:dyDescent="0.15">
      <c r="A572" s="7"/>
      <c r="B572" s="7"/>
      <c r="C572" s="7"/>
      <c r="D572" s="8"/>
      <c r="E572" s="8"/>
      <c r="F572" s="8"/>
      <c r="G572" s="8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1.5" x14ac:dyDescent="0.15">
      <c r="A573" s="7"/>
      <c r="B573" s="7"/>
      <c r="C573" s="7"/>
      <c r="D573" s="8"/>
      <c r="E573" s="8"/>
      <c r="F573" s="8"/>
      <c r="G573" s="8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1.5" x14ac:dyDescent="0.15">
      <c r="A574" s="7"/>
      <c r="B574" s="7"/>
      <c r="C574" s="7"/>
      <c r="D574" s="8"/>
      <c r="E574" s="8"/>
      <c r="F574" s="8"/>
      <c r="G574" s="8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1.5" x14ac:dyDescent="0.15">
      <c r="A575" s="7"/>
      <c r="B575" s="7"/>
      <c r="C575" s="7"/>
      <c r="D575" s="8"/>
      <c r="E575" s="8"/>
      <c r="F575" s="8"/>
      <c r="G575" s="8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1.5" x14ac:dyDescent="0.15">
      <c r="A576" s="7"/>
      <c r="B576" s="7"/>
      <c r="C576" s="7"/>
      <c r="D576" s="8"/>
      <c r="E576" s="8"/>
      <c r="F576" s="8"/>
      <c r="G576" s="8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1.5" x14ac:dyDescent="0.15">
      <c r="A577" s="7"/>
      <c r="B577" s="7"/>
      <c r="C577" s="7"/>
      <c r="D577" s="8"/>
      <c r="E577" s="8"/>
      <c r="F577" s="8"/>
      <c r="G577" s="8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1.5" x14ac:dyDescent="0.15">
      <c r="A578" s="7"/>
      <c r="B578" s="7"/>
      <c r="C578" s="7"/>
      <c r="D578" s="8"/>
      <c r="E578" s="8"/>
      <c r="F578" s="8"/>
      <c r="G578" s="8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1.5" x14ac:dyDescent="0.15">
      <c r="A579" s="7"/>
      <c r="B579" s="7"/>
      <c r="C579" s="7"/>
      <c r="D579" s="8"/>
      <c r="E579" s="8"/>
      <c r="F579" s="8"/>
      <c r="G579" s="8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1.5" x14ac:dyDescent="0.15">
      <c r="A580" s="7"/>
      <c r="B580" s="7"/>
      <c r="C580" s="7"/>
      <c r="D580" s="8"/>
      <c r="E580" s="8"/>
      <c r="F580" s="8"/>
      <c r="G580" s="8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1.5" x14ac:dyDescent="0.15">
      <c r="A581" s="7"/>
      <c r="B581" s="7"/>
      <c r="C581" s="7"/>
      <c r="D581" s="8"/>
      <c r="E581" s="8"/>
      <c r="F581" s="8"/>
      <c r="G581" s="8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1.5" x14ac:dyDescent="0.15">
      <c r="A582" s="7"/>
      <c r="B582" s="7"/>
      <c r="C582" s="7"/>
      <c r="D582" s="8"/>
      <c r="E582" s="8"/>
      <c r="F582" s="8"/>
      <c r="G582" s="8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1.5" x14ac:dyDescent="0.15">
      <c r="A583" s="7"/>
      <c r="B583" s="7"/>
      <c r="C583" s="7"/>
      <c r="D583" s="8"/>
      <c r="E583" s="8"/>
      <c r="F583" s="8"/>
      <c r="G583" s="8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1.5" x14ac:dyDescent="0.15">
      <c r="A584" s="7"/>
      <c r="B584" s="7"/>
      <c r="C584" s="7"/>
      <c r="D584" s="8"/>
      <c r="E584" s="8"/>
      <c r="F584" s="8"/>
      <c r="G584" s="8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1.5" x14ac:dyDescent="0.15">
      <c r="A585" s="7"/>
      <c r="B585" s="7"/>
      <c r="C585" s="7"/>
      <c r="D585" s="8"/>
      <c r="E585" s="8"/>
      <c r="F585" s="8"/>
      <c r="G585" s="8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1.5" x14ac:dyDescent="0.15">
      <c r="A586" s="7"/>
      <c r="B586" s="7"/>
      <c r="C586" s="7"/>
      <c r="D586" s="8"/>
      <c r="E586" s="8"/>
      <c r="F586" s="8"/>
      <c r="G586" s="8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1.5" x14ac:dyDescent="0.15">
      <c r="A587" s="7"/>
      <c r="B587" s="7"/>
      <c r="C587" s="7"/>
      <c r="D587" s="8"/>
      <c r="E587" s="8"/>
      <c r="F587" s="8"/>
      <c r="G587" s="8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1.5" x14ac:dyDescent="0.15">
      <c r="A588" s="7"/>
      <c r="B588" s="7"/>
      <c r="C588" s="7"/>
      <c r="D588" s="8"/>
      <c r="E588" s="8"/>
      <c r="F588" s="8"/>
      <c r="G588" s="8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1.5" x14ac:dyDescent="0.15">
      <c r="A589" s="7"/>
      <c r="B589" s="7"/>
      <c r="C589" s="7"/>
      <c r="D589" s="8"/>
      <c r="E589" s="8"/>
      <c r="F589" s="8"/>
      <c r="G589" s="8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1.5" x14ac:dyDescent="0.15">
      <c r="A590" s="7"/>
      <c r="B590" s="7"/>
      <c r="C590" s="7"/>
      <c r="D590" s="8"/>
      <c r="E590" s="8"/>
      <c r="F590" s="8"/>
      <c r="G590" s="8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11.5" x14ac:dyDescent="0.15">
      <c r="A591" s="7"/>
      <c r="B591" s="7"/>
      <c r="C591" s="7"/>
      <c r="D591" s="8"/>
      <c r="E591" s="8"/>
      <c r="F591" s="8"/>
      <c r="G591" s="8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1.5" x14ac:dyDescent="0.15">
      <c r="A592" s="7"/>
      <c r="B592" s="7"/>
      <c r="C592" s="7"/>
      <c r="D592" s="8"/>
      <c r="E592" s="8"/>
      <c r="F592" s="8"/>
      <c r="G592" s="8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1.5" x14ac:dyDescent="0.15">
      <c r="A593" s="7"/>
      <c r="B593" s="7"/>
      <c r="C593" s="7"/>
      <c r="D593" s="8"/>
      <c r="E593" s="8"/>
      <c r="F593" s="8"/>
      <c r="G593" s="8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1.5" x14ac:dyDescent="0.15">
      <c r="A594" s="7"/>
      <c r="B594" s="7"/>
      <c r="C594" s="7"/>
      <c r="D594" s="8"/>
      <c r="E594" s="8"/>
      <c r="F594" s="8"/>
      <c r="G594" s="8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1.5" x14ac:dyDescent="0.15">
      <c r="A595" s="7"/>
      <c r="B595" s="7"/>
      <c r="C595" s="7"/>
      <c r="D595" s="8"/>
      <c r="E595" s="8"/>
      <c r="F595" s="8"/>
      <c r="G595" s="8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1.5" x14ac:dyDescent="0.15">
      <c r="A596" s="7"/>
      <c r="B596" s="7"/>
      <c r="C596" s="7"/>
      <c r="D596" s="8"/>
      <c r="E596" s="8"/>
      <c r="F596" s="8"/>
      <c r="G596" s="8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1.5" x14ac:dyDescent="0.15">
      <c r="A597" s="7"/>
      <c r="B597" s="7"/>
      <c r="C597" s="7"/>
      <c r="D597" s="8"/>
      <c r="E597" s="8"/>
      <c r="F597" s="8"/>
      <c r="G597" s="8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1.5" x14ac:dyDescent="0.15">
      <c r="A598" s="7"/>
      <c r="B598" s="7"/>
      <c r="C598" s="7"/>
      <c r="D598" s="8"/>
      <c r="E598" s="8"/>
      <c r="F598" s="8"/>
      <c r="G598" s="8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1.5" x14ac:dyDescent="0.15">
      <c r="A599" s="7"/>
      <c r="B599" s="7"/>
      <c r="C599" s="7"/>
      <c r="D599" s="8"/>
      <c r="E599" s="8"/>
      <c r="F599" s="8"/>
      <c r="G599" s="8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1.5" x14ac:dyDescent="0.15">
      <c r="A600" s="7"/>
      <c r="B600" s="7"/>
      <c r="C600" s="7"/>
      <c r="D600" s="8"/>
      <c r="E600" s="8"/>
      <c r="F600" s="8"/>
      <c r="G600" s="8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1.5" x14ac:dyDescent="0.15">
      <c r="A601" s="7"/>
      <c r="B601" s="7"/>
      <c r="C601" s="7"/>
      <c r="D601" s="8"/>
      <c r="E601" s="8"/>
      <c r="F601" s="8"/>
      <c r="G601" s="8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1.5" x14ac:dyDescent="0.15">
      <c r="A602" s="7"/>
      <c r="B602" s="7"/>
      <c r="C602" s="7"/>
      <c r="D602" s="8"/>
      <c r="E602" s="8"/>
      <c r="F602" s="8"/>
      <c r="G602" s="8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1.5" x14ac:dyDescent="0.15">
      <c r="A603" s="7"/>
      <c r="B603" s="7"/>
      <c r="C603" s="7"/>
      <c r="D603" s="8"/>
      <c r="E603" s="8"/>
      <c r="F603" s="8"/>
      <c r="G603" s="8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1.5" x14ac:dyDescent="0.15">
      <c r="A604" s="7"/>
      <c r="B604" s="7"/>
      <c r="C604" s="7"/>
      <c r="D604" s="8"/>
      <c r="E604" s="8"/>
      <c r="F604" s="8"/>
      <c r="G604" s="8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1.5" x14ac:dyDescent="0.15">
      <c r="A605" s="7"/>
      <c r="B605" s="7"/>
      <c r="C605" s="7"/>
      <c r="D605" s="8"/>
      <c r="E605" s="8"/>
      <c r="F605" s="8"/>
      <c r="G605" s="8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1.5" x14ac:dyDescent="0.15">
      <c r="A606" s="7"/>
      <c r="B606" s="7"/>
      <c r="C606" s="7"/>
      <c r="D606" s="8"/>
      <c r="E606" s="8"/>
      <c r="F606" s="8"/>
      <c r="G606" s="8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1.5" x14ac:dyDescent="0.15">
      <c r="A607" s="7"/>
      <c r="B607" s="7"/>
      <c r="C607" s="7"/>
      <c r="D607" s="8"/>
      <c r="E607" s="8"/>
      <c r="F607" s="8"/>
      <c r="G607" s="8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1.5" x14ac:dyDescent="0.15">
      <c r="A608" s="7"/>
      <c r="B608" s="7"/>
      <c r="C608" s="7"/>
      <c r="D608" s="8"/>
      <c r="E608" s="8"/>
      <c r="F608" s="8"/>
      <c r="G608" s="8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1.5" x14ac:dyDescent="0.15">
      <c r="A609" s="7"/>
      <c r="B609" s="7"/>
      <c r="C609" s="7"/>
      <c r="D609" s="8"/>
      <c r="E609" s="8"/>
      <c r="F609" s="8"/>
      <c r="G609" s="8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1.5" x14ac:dyDescent="0.15">
      <c r="A610" s="7"/>
      <c r="B610" s="7"/>
      <c r="C610" s="7"/>
      <c r="D610" s="8"/>
      <c r="E610" s="8"/>
      <c r="F610" s="8"/>
      <c r="G610" s="8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1.5" x14ac:dyDescent="0.15">
      <c r="A611" s="7"/>
      <c r="B611" s="7"/>
      <c r="C611" s="7"/>
      <c r="D611" s="8"/>
      <c r="E611" s="8"/>
      <c r="F611" s="8"/>
      <c r="G611" s="8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1.5" x14ac:dyDescent="0.15">
      <c r="A612" s="7"/>
      <c r="B612" s="7"/>
      <c r="C612" s="7"/>
      <c r="D612" s="8"/>
      <c r="E612" s="8"/>
      <c r="F612" s="8"/>
      <c r="G612" s="8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1.5" x14ac:dyDescent="0.15">
      <c r="A613" s="7"/>
      <c r="B613" s="7"/>
      <c r="C613" s="7"/>
      <c r="D613" s="8"/>
      <c r="E613" s="8"/>
      <c r="F613" s="8"/>
      <c r="G613" s="8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1.5" x14ac:dyDescent="0.15">
      <c r="A614" s="7"/>
      <c r="B614" s="7"/>
      <c r="C614" s="7"/>
      <c r="D614" s="8"/>
      <c r="E614" s="8"/>
      <c r="F614" s="8"/>
      <c r="G614" s="8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1.5" x14ac:dyDescent="0.15">
      <c r="A615" s="7"/>
      <c r="B615" s="7"/>
      <c r="C615" s="7"/>
      <c r="D615" s="8"/>
      <c r="E615" s="8"/>
      <c r="F615" s="8"/>
      <c r="G615" s="8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1.5" x14ac:dyDescent="0.15">
      <c r="A616" s="7"/>
      <c r="B616" s="7"/>
      <c r="C616" s="7"/>
      <c r="D616" s="8"/>
      <c r="E616" s="8"/>
      <c r="F616" s="8"/>
      <c r="G616" s="8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1.5" x14ac:dyDescent="0.15">
      <c r="A617" s="7"/>
      <c r="B617" s="7"/>
      <c r="C617" s="7"/>
      <c r="D617" s="8"/>
      <c r="E617" s="8"/>
      <c r="F617" s="8"/>
      <c r="G617" s="8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1.5" x14ac:dyDescent="0.15">
      <c r="A618" s="7"/>
      <c r="B618" s="7"/>
      <c r="C618" s="7"/>
      <c r="D618" s="8"/>
      <c r="E618" s="8"/>
      <c r="F618" s="8"/>
      <c r="G618" s="8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1.5" x14ac:dyDescent="0.15">
      <c r="A619" s="7"/>
      <c r="B619" s="7"/>
      <c r="C619" s="7"/>
      <c r="D619" s="8"/>
      <c r="E619" s="8"/>
      <c r="F619" s="8"/>
      <c r="G619" s="8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1.5" x14ac:dyDescent="0.15">
      <c r="A620" s="7"/>
      <c r="B620" s="7"/>
      <c r="C620" s="7"/>
      <c r="D620" s="8"/>
      <c r="E620" s="8"/>
      <c r="F620" s="8"/>
      <c r="G620" s="8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1.5" x14ac:dyDescent="0.15">
      <c r="A621" s="7"/>
      <c r="B621" s="7"/>
      <c r="C621" s="7"/>
      <c r="D621" s="8"/>
      <c r="E621" s="8"/>
      <c r="F621" s="8"/>
      <c r="G621" s="8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1.5" x14ac:dyDescent="0.15">
      <c r="A622" s="7"/>
      <c r="B622" s="7"/>
      <c r="C622" s="7"/>
      <c r="D622" s="8"/>
      <c r="E622" s="8"/>
      <c r="F622" s="8"/>
      <c r="G622" s="8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1.5" x14ac:dyDescent="0.15">
      <c r="A623" s="7"/>
      <c r="B623" s="7"/>
      <c r="C623" s="7"/>
      <c r="D623" s="8"/>
      <c r="E623" s="8"/>
      <c r="F623" s="8"/>
      <c r="G623" s="8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1.5" x14ac:dyDescent="0.15">
      <c r="A624" s="7"/>
      <c r="B624" s="7"/>
      <c r="C624" s="7"/>
      <c r="D624" s="8"/>
      <c r="E624" s="8"/>
      <c r="F624" s="8"/>
      <c r="G624" s="8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1.5" x14ac:dyDescent="0.15">
      <c r="A625" s="7"/>
      <c r="B625" s="7"/>
      <c r="C625" s="7"/>
      <c r="D625" s="8"/>
      <c r="E625" s="8"/>
      <c r="F625" s="8"/>
      <c r="G625" s="8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1.5" x14ac:dyDescent="0.15">
      <c r="A626" s="7"/>
      <c r="B626" s="7"/>
      <c r="C626" s="7"/>
      <c r="D626" s="8"/>
      <c r="E626" s="8"/>
      <c r="F626" s="8"/>
      <c r="G626" s="8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1.5" x14ac:dyDescent="0.15">
      <c r="A627" s="7"/>
      <c r="B627" s="7"/>
      <c r="C627" s="7"/>
      <c r="D627" s="8"/>
      <c r="E627" s="8"/>
      <c r="F627" s="8"/>
      <c r="G627" s="8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1.5" x14ac:dyDescent="0.15">
      <c r="A628" s="7"/>
      <c r="B628" s="7"/>
      <c r="C628" s="7"/>
      <c r="D628" s="8"/>
      <c r="E628" s="8"/>
      <c r="F628" s="8"/>
      <c r="G628" s="8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1.5" x14ac:dyDescent="0.15">
      <c r="A629" s="7"/>
      <c r="B629" s="7"/>
      <c r="C629" s="7"/>
      <c r="D629" s="8"/>
      <c r="E629" s="8"/>
      <c r="F629" s="8"/>
      <c r="G629" s="8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1.5" x14ac:dyDescent="0.15">
      <c r="A630" s="7"/>
      <c r="B630" s="7"/>
      <c r="C630" s="7"/>
      <c r="D630" s="8"/>
      <c r="E630" s="8"/>
      <c r="F630" s="8"/>
      <c r="G630" s="8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1.5" x14ac:dyDescent="0.15">
      <c r="A631" s="7"/>
      <c r="B631" s="7"/>
      <c r="C631" s="7"/>
      <c r="D631" s="8"/>
      <c r="E631" s="8"/>
      <c r="F631" s="8"/>
      <c r="G631" s="8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1.5" x14ac:dyDescent="0.15">
      <c r="A632" s="7"/>
      <c r="B632" s="7"/>
      <c r="C632" s="7"/>
      <c r="D632" s="8"/>
      <c r="E632" s="8"/>
      <c r="F632" s="8"/>
      <c r="G632" s="8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1.5" x14ac:dyDescent="0.15">
      <c r="A633" s="7"/>
      <c r="B633" s="7"/>
      <c r="C633" s="7"/>
      <c r="D633" s="8"/>
      <c r="E633" s="8"/>
      <c r="F633" s="8"/>
      <c r="G633" s="8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1.5" x14ac:dyDescent="0.15">
      <c r="A634" s="7"/>
      <c r="B634" s="7"/>
      <c r="C634" s="7"/>
      <c r="D634" s="8"/>
      <c r="E634" s="8"/>
      <c r="F634" s="8"/>
      <c r="G634" s="8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1.5" x14ac:dyDescent="0.15">
      <c r="A635" s="7"/>
      <c r="B635" s="7"/>
      <c r="C635" s="7"/>
      <c r="D635" s="8"/>
      <c r="E635" s="8"/>
      <c r="F635" s="8"/>
      <c r="G635" s="8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1.5" x14ac:dyDescent="0.15">
      <c r="A636" s="7"/>
      <c r="B636" s="7"/>
      <c r="C636" s="7"/>
      <c r="D636" s="8"/>
      <c r="E636" s="8"/>
      <c r="F636" s="8"/>
      <c r="G636" s="8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1.5" x14ac:dyDescent="0.15">
      <c r="A637" s="7"/>
      <c r="B637" s="7"/>
      <c r="C637" s="7"/>
      <c r="D637" s="8"/>
      <c r="E637" s="8"/>
      <c r="F637" s="8"/>
      <c r="G637" s="8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1.5" x14ac:dyDescent="0.15">
      <c r="A638" s="7"/>
      <c r="B638" s="7"/>
      <c r="C638" s="7"/>
      <c r="D638" s="8"/>
      <c r="E638" s="8"/>
      <c r="F638" s="8"/>
      <c r="G638" s="8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1.5" x14ac:dyDescent="0.15">
      <c r="A639" s="7"/>
      <c r="B639" s="7"/>
      <c r="C639" s="7"/>
      <c r="D639" s="8"/>
      <c r="E639" s="8"/>
      <c r="F639" s="8"/>
      <c r="G639" s="8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1.5" x14ac:dyDescent="0.15">
      <c r="A640" s="7"/>
      <c r="B640" s="7"/>
      <c r="C640" s="7"/>
      <c r="D640" s="8"/>
      <c r="E640" s="8"/>
      <c r="F640" s="8"/>
      <c r="G640" s="8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1.5" x14ac:dyDescent="0.15">
      <c r="A641" s="7"/>
      <c r="B641" s="7"/>
      <c r="C641" s="7"/>
      <c r="D641" s="8"/>
      <c r="E641" s="8"/>
      <c r="F641" s="8"/>
      <c r="G641" s="8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1.5" x14ac:dyDescent="0.15">
      <c r="A642" s="7"/>
      <c r="B642" s="7"/>
      <c r="C642" s="7"/>
      <c r="D642" s="8"/>
      <c r="E642" s="8"/>
      <c r="F642" s="8"/>
      <c r="G642" s="8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1.5" x14ac:dyDescent="0.15">
      <c r="A643" s="7"/>
      <c r="B643" s="7"/>
      <c r="C643" s="7"/>
      <c r="D643" s="8"/>
      <c r="E643" s="8"/>
      <c r="F643" s="8"/>
      <c r="G643" s="8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1.5" x14ac:dyDescent="0.15">
      <c r="A644" s="7"/>
      <c r="B644" s="7"/>
      <c r="C644" s="7"/>
      <c r="D644" s="8"/>
      <c r="E644" s="8"/>
      <c r="F644" s="8"/>
      <c r="G644" s="8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1.5" x14ac:dyDescent="0.15">
      <c r="A645" s="7"/>
      <c r="B645" s="7"/>
      <c r="C645" s="7"/>
      <c r="D645" s="8"/>
      <c r="E645" s="8"/>
      <c r="F645" s="8"/>
      <c r="G645" s="8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1.5" x14ac:dyDescent="0.15">
      <c r="A646" s="7"/>
      <c r="B646" s="7"/>
      <c r="C646" s="7"/>
      <c r="D646" s="8"/>
      <c r="E646" s="8"/>
      <c r="F646" s="8"/>
      <c r="G646" s="8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1.5" x14ac:dyDescent="0.15">
      <c r="A647" s="7"/>
      <c r="B647" s="7"/>
      <c r="C647" s="7"/>
      <c r="D647" s="8"/>
      <c r="E647" s="8"/>
      <c r="F647" s="8"/>
      <c r="G647" s="8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1.5" x14ac:dyDescent="0.15">
      <c r="A648" s="7"/>
      <c r="B648" s="7"/>
      <c r="C648" s="7"/>
      <c r="D648" s="8"/>
      <c r="E648" s="8"/>
      <c r="F648" s="8"/>
      <c r="G648" s="8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1.5" x14ac:dyDescent="0.15">
      <c r="A649" s="7"/>
      <c r="B649" s="7"/>
      <c r="C649" s="7"/>
      <c r="D649" s="8"/>
      <c r="E649" s="8"/>
      <c r="F649" s="8"/>
      <c r="G649" s="8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1.5" x14ac:dyDescent="0.15">
      <c r="A650" s="7"/>
      <c r="B650" s="7"/>
      <c r="C650" s="7"/>
      <c r="D650" s="8"/>
      <c r="E650" s="8"/>
      <c r="F650" s="8"/>
      <c r="G650" s="8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1.5" x14ac:dyDescent="0.15">
      <c r="A651" s="7"/>
      <c r="B651" s="7"/>
      <c r="C651" s="7"/>
      <c r="D651" s="8"/>
      <c r="E651" s="8"/>
      <c r="F651" s="8"/>
      <c r="G651" s="8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1.5" x14ac:dyDescent="0.15">
      <c r="A652" s="7"/>
      <c r="B652" s="7"/>
      <c r="C652" s="7"/>
      <c r="D652" s="8"/>
      <c r="E652" s="8"/>
      <c r="F652" s="8"/>
      <c r="G652" s="8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1.5" x14ac:dyDescent="0.15">
      <c r="A653" s="7"/>
      <c r="B653" s="7"/>
      <c r="C653" s="7"/>
      <c r="D653" s="8"/>
      <c r="E653" s="8"/>
      <c r="F653" s="8"/>
      <c r="G653" s="8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1.5" x14ac:dyDescent="0.15">
      <c r="A654" s="7"/>
      <c r="B654" s="7"/>
      <c r="C654" s="7"/>
      <c r="D654" s="8"/>
      <c r="E654" s="8"/>
      <c r="F654" s="8"/>
      <c r="G654" s="8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1.5" x14ac:dyDescent="0.15">
      <c r="A655" s="7"/>
      <c r="B655" s="7"/>
      <c r="C655" s="7"/>
      <c r="D655" s="8"/>
      <c r="E655" s="8"/>
      <c r="F655" s="8"/>
      <c r="G655" s="8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1.5" x14ac:dyDescent="0.15">
      <c r="A656" s="7"/>
      <c r="B656" s="7"/>
      <c r="C656" s="7"/>
      <c r="D656" s="8"/>
      <c r="E656" s="8"/>
      <c r="F656" s="8"/>
      <c r="G656" s="8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1.5" x14ac:dyDescent="0.15">
      <c r="A657" s="7"/>
      <c r="B657" s="7"/>
      <c r="C657" s="7"/>
      <c r="D657" s="8"/>
      <c r="E657" s="8"/>
      <c r="F657" s="8"/>
      <c r="G657" s="8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1.5" x14ac:dyDescent="0.15">
      <c r="A658" s="7"/>
      <c r="B658" s="7"/>
      <c r="C658" s="7"/>
      <c r="D658" s="8"/>
      <c r="E658" s="8"/>
      <c r="F658" s="8"/>
      <c r="G658" s="8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1.5" x14ac:dyDescent="0.15">
      <c r="A659" s="7"/>
      <c r="B659" s="7"/>
      <c r="C659" s="7"/>
      <c r="D659" s="8"/>
      <c r="E659" s="8"/>
      <c r="F659" s="8"/>
      <c r="G659" s="8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1.5" x14ac:dyDescent="0.15">
      <c r="A660" s="7"/>
      <c r="B660" s="7"/>
      <c r="C660" s="7"/>
      <c r="D660" s="8"/>
      <c r="E660" s="8"/>
      <c r="F660" s="8"/>
      <c r="G660" s="8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1.5" x14ac:dyDescent="0.15">
      <c r="A661" s="7"/>
      <c r="B661" s="7"/>
      <c r="C661" s="7"/>
      <c r="D661" s="8"/>
      <c r="E661" s="8"/>
      <c r="F661" s="8"/>
      <c r="G661" s="8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1.5" x14ac:dyDescent="0.15">
      <c r="A662" s="7"/>
      <c r="B662" s="7"/>
      <c r="C662" s="7"/>
      <c r="D662" s="8"/>
      <c r="E662" s="8"/>
      <c r="F662" s="8"/>
      <c r="G662" s="8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1.5" x14ac:dyDescent="0.15">
      <c r="A663" s="7"/>
      <c r="B663" s="7"/>
      <c r="C663" s="7"/>
      <c r="D663" s="8"/>
      <c r="E663" s="8"/>
      <c r="F663" s="8"/>
      <c r="G663" s="8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1.5" x14ac:dyDescent="0.15">
      <c r="A664" s="7"/>
      <c r="B664" s="7"/>
      <c r="C664" s="7"/>
      <c r="D664" s="8"/>
      <c r="E664" s="8"/>
      <c r="F664" s="8"/>
      <c r="G664" s="8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1.5" x14ac:dyDescent="0.15">
      <c r="A665" s="7"/>
      <c r="B665" s="7"/>
      <c r="C665" s="7"/>
      <c r="D665" s="8"/>
      <c r="E665" s="8"/>
      <c r="F665" s="8"/>
      <c r="G665" s="8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1.5" x14ac:dyDescent="0.15">
      <c r="A666" s="7"/>
      <c r="B666" s="7"/>
      <c r="C666" s="7"/>
      <c r="D666" s="8"/>
      <c r="E666" s="8"/>
      <c r="F666" s="8"/>
      <c r="G666" s="8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1.5" x14ac:dyDescent="0.15">
      <c r="A667" s="7"/>
      <c r="B667" s="7"/>
      <c r="C667" s="7"/>
      <c r="D667" s="8"/>
      <c r="E667" s="8"/>
      <c r="F667" s="8"/>
      <c r="G667" s="8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1.5" x14ac:dyDescent="0.15">
      <c r="A668" s="7"/>
      <c r="B668" s="7"/>
      <c r="C668" s="7"/>
      <c r="D668" s="8"/>
      <c r="E668" s="8"/>
      <c r="F668" s="8"/>
      <c r="G668" s="8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1.5" x14ac:dyDescent="0.15">
      <c r="A669" s="7"/>
      <c r="B669" s="7"/>
      <c r="C669" s="7"/>
      <c r="D669" s="8"/>
      <c r="E669" s="8"/>
      <c r="F669" s="8"/>
      <c r="G669" s="8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1.5" x14ac:dyDescent="0.15">
      <c r="A670" s="7"/>
      <c r="B670" s="7"/>
      <c r="C670" s="7"/>
      <c r="D670" s="8"/>
      <c r="E670" s="8"/>
      <c r="F670" s="8"/>
      <c r="G670" s="8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1.5" x14ac:dyDescent="0.15">
      <c r="A671" s="7"/>
      <c r="B671" s="7"/>
      <c r="C671" s="7"/>
      <c r="D671" s="8"/>
      <c r="E671" s="8"/>
      <c r="F671" s="8"/>
      <c r="G671" s="8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1.5" x14ac:dyDescent="0.15">
      <c r="A672" s="7"/>
      <c r="B672" s="7"/>
      <c r="C672" s="7"/>
      <c r="D672" s="8"/>
      <c r="E672" s="8"/>
      <c r="F672" s="8"/>
      <c r="G672" s="8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1.5" x14ac:dyDescent="0.15">
      <c r="A673" s="7"/>
      <c r="B673" s="7"/>
      <c r="C673" s="7"/>
      <c r="D673" s="8"/>
      <c r="E673" s="8"/>
      <c r="F673" s="8"/>
      <c r="G673" s="8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1.5" x14ac:dyDescent="0.15">
      <c r="A674" s="7"/>
      <c r="B674" s="7"/>
      <c r="C674" s="7"/>
      <c r="D674" s="8"/>
      <c r="E674" s="8"/>
      <c r="F674" s="8"/>
      <c r="G674" s="8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1.5" x14ac:dyDescent="0.15">
      <c r="A675" s="7"/>
      <c r="B675" s="7"/>
      <c r="C675" s="7"/>
      <c r="D675" s="8"/>
      <c r="E675" s="8"/>
      <c r="F675" s="8"/>
      <c r="G675" s="8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1.5" x14ac:dyDescent="0.15">
      <c r="A676" s="7"/>
      <c r="B676" s="7"/>
      <c r="C676" s="7"/>
      <c r="D676" s="8"/>
      <c r="E676" s="8"/>
      <c r="F676" s="8"/>
      <c r="G676" s="8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1.5" x14ac:dyDescent="0.15">
      <c r="A677" s="7"/>
      <c r="B677" s="7"/>
      <c r="C677" s="7"/>
      <c r="D677" s="8"/>
      <c r="E677" s="8"/>
      <c r="F677" s="8"/>
      <c r="G677" s="8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1.5" x14ac:dyDescent="0.15">
      <c r="A678" s="7"/>
      <c r="B678" s="7"/>
      <c r="C678" s="7"/>
      <c r="D678" s="8"/>
      <c r="E678" s="8"/>
      <c r="F678" s="8"/>
      <c r="G678" s="8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1.5" x14ac:dyDescent="0.15">
      <c r="A679" s="7"/>
      <c r="B679" s="7"/>
      <c r="C679" s="7"/>
      <c r="D679" s="8"/>
      <c r="E679" s="8"/>
      <c r="F679" s="8"/>
      <c r="G679" s="8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1.5" x14ac:dyDescent="0.15">
      <c r="A680" s="7"/>
      <c r="B680" s="7"/>
      <c r="C680" s="7"/>
      <c r="D680" s="8"/>
      <c r="E680" s="8"/>
      <c r="F680" s="8"/>
      <c r="G680" s="8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1.5" x14ac:dyDescent="0.15">
      <c r="A681" s="7"/>
      <c r="B681" s="7"/>
      <c r="C681" s="7"/>
      <c r="D681" s="8"/>
      <c r="E681" s="8"/>
      <c r="F681" s="8"/>
      <c r="G681" s="8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1.5" x14ac:dyDescent="0.15">
      <c r="A682" s="7"/>
      <c r="B682" s="7"/>
      <c r="C682" s="7"/>
      <c r="D682" s="8"/>
      <c r="E682" s="8"/>
      <c r="F682" s="8"/>
      <c r="G682" s="8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1.5" x14ac:dyDescent="0.15">
      <c r="A683" s="7"/>
      <c r="B683" s="7"/>
      <c r="C683" s="7"/>
      <c r="D683" s="8"/>
      <c r="E683" s="8"/>
      <c r="F683" s="8"/>
      <c r="G683" s="8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1.5" x14ac:dyDescent="0.15">
      <c r="A684" s="7"/>
      <c r="B684" s="7"/>
      <c r="C684" s="7"/>
      <c r="D684" s="8"/>
      <c r="E684" s="8"/>
      <c r="F684" s="8"/>
      <c r="G684" s="8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1.5" x14ac:dyDescent="0.15">
      <c r="A685" s="7"/>
      <c r="B685" s="7"/>
      <c r="C685" s="7"/>
      <c r="D685" s="8"/>
      <c r="E685" s="8"/>
      <c r="F685" s="8"/>
      <c r="G685" s="8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1.5" x14ac:dyDescent="0.15">
      <c r="A686" s="7"/>
      <c r="B686" s="7"/>
      <c r="C686" s="7"/>
      <c r="D686" s="8"/>
      <c r="E686" s="8"/>
      <c r="F686" s="8"/>
      <c r="G686" s="8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1.5" x14ac:dyDescent="0.15">
      <c r="A687" s="7"/>
      <c r="B687" s="7"/>
      <c r="C687" s="7"/>
      <c r="D687" s="8"/>
      <c r="E687" s="8"/>
      <c r="F687" s="8"/>
      <c r="G687" s="8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1.5" x14ac:dyDescent="0.15">
      <c r="A688" s="7"/>
      <c r="B688" s="7"/>
      <c r="C688" s="7"/>
      <c r="D688" s="8"/>
      <c r="E688" s="8"/>
      <c r="F688" s="8"/>
      <c r="G688" s="8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1.5" x14ac:dyDescent="0.15">
      <c r="A689" s="7"/>
      <c r="B689" s="7"/>
      <c r="C689" s="7"/>
      <c r="D689" s="8"/>
      <c r="E689" s="8"/>
      <c r="F689" s="8"/>
      <c r="G689" s="8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1.5" x14ac:dyDescent="0.15">
      <c r="A690" s="7"/>
      <c r="B690" s="7"/>
      <c r="C690" s="7"/>
      <c r="D690" s="8"/>
      <c r="E690" s="8"/>
      <c r="F690" s="8"/>
      <c r="G690" s="8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1.5" x14ac:dyDescent="0.15">
      <c r="A691" s="7"/>
      <c r="B691" s="7"/>
      <c r="C691" s="7"/>
      <c r="D691" s="8"/>
      <c r="E691" s="8"/>
      <c r="F691" s="8"/>
      <c r="G691" s="8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1.5" x14ac:dyDescent="0.15">
      <c r="A692" s="7"/>
      <c r="B692" s="7"/>
      <c r="C692" s="7"/>
      <c r="D692" s="8"/>
      <c r="E692" s="8"/>
      <c r="F692" s="8"/>
      <c r="G692" s="8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1.5" x14ac:dyDescent="0.15">
      <c r="A693" s="7"/>
      <c r="B693" s="7"/>
      <c r="C693" s="7"/>
      <c r="D693" s="8"/>
      <c r="E693" s="8"/>
      <c r="F693" s="8"/>
      <c r="G693" s="8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1.5" x14ac:dyDescent="0.15">
      <c r="A694" s="7"/>
      <c r="B694" s="7"/>
      <c r="C694" s="7"/>
      <c r="D694" s="8"/>
      <c r="E694" s="8"/>
      <c r="F694" s="8"/>
      <c r="G694" s="8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1.5" x14ac:dyDescent="0.15">
      <c r="A695" s="7"/>
      <c r="B695" s="7"/>
      <c r="C695" s="7"/>
      <c r="D695" s="8"/>
      <c r="E695" s="8"/>
      <c r="F695" s="8"/>
      <c r="G695" s="8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1.5" x14ac:dyDescent="0.15">
      <c r="A696" s="7"/>
      <c r="B696" s="7"/>
      <c r="C696" s="7"/>
      <c r="D696" s="8"/>
      <c r="E696" s="8"/>
      <c r="F696" s="8"/>
      <c r="G696" s="8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1.5" x14ac:dyDescent="0.15">
      <c r="A697" s="7"/>
      <c r="B697" s="7"/>
      <c r="C697" s="7"/>
      <c r="D697" s="8"/>
      <c r="E697" s="8"/>
      <c r="F697" s="8"/>
      <c r="G697" s="8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1.5" x14ac:dyDescent="0.15">
      <c r="A698" s="7"/>
      <c r="B698" s="7"/>
      <c r="C698" s="7"/>
      <c r="D698" s="8"/>
      <c r="E698" s="8"/>
      <c r="F698" s="8"/>
      <c r="G698" s="8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1.5" x14ac:dyDescent="0.15">
      <c r="A699" s="7"/>
      <c r="B699" s="7"/>
      <c r="C699" s="7"/>
      <c r="D699" s="8"/>
      <c r="E699" s="8"/>
      <c r="F699" s="8"/>
      <c r="G699" s="8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1.5" x14ac:dyDescent="0.15">
      <c r="A700" s="7"/>
      <c r="B700" s="7"/>
      <c r="C700" s="7"/>
      <c r="D700" s="8"/>
      <c r="E700" s="8"/>
      <c r="F700" s="8"/>
      <c r="G700" s="8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1.5" x14ac:dyDescent="0.15">
      <c r="A701" s="7"/>
      <c r="B701" s="7"/>
      <c r="C701" s="7"/>
      <c r="D701" s="8"/>
      <c r="E701" s="8"/>
      <c r="F701" s="8"/>
      <c r="G701" s="8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1.5" x14ac:dyDescent="0.15">
      <c r="A702" s="7"/>
      <c r="B702" s="7"/>
      <c r="C702" s="7"/>
      <c r="D702" s="8"/>
      <c r="E702" s="8"/>
      <c r="F702" s="8"/>
      <c r="G702" s="8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1.5" x14ac:dyDescent="0.15">
      <c r="A703" s="7"/>
      <c r="B703" s="7"/>
      <c r="C703" s="7"/>
      <c r="D703" s="8"/>
      <c r="E703" s="8"/>
      <c r="F703" s="8"/>
      <c r="G703" s="8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1.5" x14ac:dyDescent="0.15">
      <c r="A704" s="7"/>
      <c r="B704" s="7"/>
      <c r="C704" s="7"/>
      <c r="D704" s="8"/>
      <c r="E704" s="8"/>
      <c r="F704" s="8"/>
      <c r="G704" s="8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1.5" x14ac:dyDescent="0.15">
      <c r="A705" s="7"/>
      <c r="B705" s="7"/>
      <c r="C705" s="7"/>
      <c r="D705" s="8"/>
      <c r="E705" s="8"/>
      <c r="F705" s="8"/>
      <c r="G705" s="8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1.5" x14ac:dyDescent="0.15">
      <c r="A706" s="7"/>
      <c r="B706" s="7"/>
      <c r="C706" s="7"/>
      <c r="D706" s="8"/>
      <c r="E706" s="8"/>
      <c r="F706" s="8"/>
      <c r="G706" s="8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1.5" x14ac:dyDescent="0.15">
      <c r="A707" s="7"/>
      <c r="B707" s="7"/>
      <c r="C707" s="7"/>
      <c r="D707" s="8"/>
      <c r="E707" s="8"/>
      <c r="F707" s="8"/>
      <c r="G707" s="8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1.5" x14ac:dyDescent="0.15">
      <c r="A708" s="7"/>
      <c r="B708" s="7"/>
      <c r="C708" s="7"/>
      <c r="D708" s="8"/>
      <c r="E708" s="8"/>
      <c r="F708" s="8"/>
      <c r="G708" s="8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1.5" x14ac:dyDescent="0.15">
      <c r="A709" s="7"/>
      <c r="B709" s="7"/>
      <c r="C709" s="7"/>
      <c r="D709" s="8"/>
      <c r="E709" s="8"/>
      <c r="F709" s="8"/>
      <c r="G709" s="8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1.5" x14ac:dyDescent="0.15">
      <c r="A710" s="7"/>
      <c r="B710" s="7"/>
      <c r="C710" s="7"/>
      <c r="D710" s="8"/>
      <c r="E710" s="8"/>
      <c r="F710" s="8"/>
      <c r="G710" s="8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1.5" x14ac:dyDescent="0.15">
      <c r="A711" s="7"/>
      <c r="B711" s="7"/>
      <c r="C711" s="7"/>
      <c r="D711" s="8"/>
      <c r="E711" s="8"/>
      <c r="F711" s="8"/>
      <c r="G711" s="8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1.5" x14ac:dyDescent="0.15">
      <c r="A712" s="7"/>
      <c r="B712" s="7"/>
      <c r="C712" s="7"/>
      <c r="D712" s="8"/>
      <c r="E712" s="8"/>
      <c r="F712" s="8"/>
      <c r="G712" s="8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1.5" x14ac:dyDescent="0.15">
      <c r="A713" s="7"/>
      <c r="B713" s="7"/>
      <c r="C713" s="7"/>
      <c r="D713" s="8"/>
      <c r="E713" s="8"/>
      <c r="F713" s="8"/>
      <c r="G713" s="8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1.5" x14ac:dyDescent="0.15">
      <c r="A714" s="7"/>
      <c r="B714" s="7"/>
      <c r="C714" s="7"/>
      <c r="D714" s="8"/>
      <c r="E714" s="8"/>
      <c r="F714" s="8"/>
      <c r="G714" s="8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1.5" x14ac:dyDescent="0.15">
      <c r="A715" s="7"/>
      <c r="B715" s="7"/>
      <c r="C715" s="7"/>
      <c r="D715" s="8"/>
      <c r="E715" s="8"/>
      <c r="F715" s="8"/>
      <c r="G715" s="8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1.5" x14ac:dyDescent="0.15">
      <c r="A716" s="7"/>
      <c r="B716" s="7"/>
      <c r="C716" s="7"/>
      <c r="D716" s="8"/>
      <c r="E716" s="8"/>
      <c r="F716" s="8"/>
      <c r="G716" s="8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1.5" x14ac:dyDescent="0.15">
      <c r="A717" s="7"/>
      <c r="B717" s="7"/>
      <c r="C717" s="7"/>
      <c r="D717" s="8"/>
      <c r="E717" s="8"/>
      <c r="F717" s="8"/>
      <c r="G717" s="8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1.5" x14ac:dyDescent="0.15">
      <c r="A718" s="7"/>
      <c r="B718" s="7"/>
      <c r="C718" s="7"/>
      <c r="D718" s="8"/>
      <c r="E718" s="8"/>
      <c r="F718" s="8"/>
      <c r="G718" s="8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1.5" x14ac:dyDescent="0.15">
      <c r="A719" s="7"/>
      <c r="B719" s="7"/>
      <c r="C719" s="7"/>
      <c r="D719" s="8"/>
      <c r="E719" s="8"/>
      <c r="F719" s="8"/>
      <c r="G719" s="8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1.5" x14ac:dyDescent="0.15">
      <c r="A720" s="7"/>
      <c r="B720" s="7"/>
      <c r="C720" s="7"/>
      <c r="D720" s="8"/>
      <c r="E720" s="8"/>
      <c r="F720" s="8"/>
      <c r="G720" s="8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1.5" x14ac:dyDescent="0.15">
      <c r="A721" s="7"/>
      <c r="B721" s="7"/>
      <c r="C721" s="7"/>
      <c r="D721" s="8"/>
      <c r="E721" s="8"/>
      <c r="F721" s="8"/>
      <c r="G721" s="8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1.5" x14ac:dyDescent="0.15">
      <c r="A722" s="7"/>
      <c r="B722" s="7"/>
      <c r="C722" s="7"/>
      <c r="D722" s="8"/>
      <c r="E722" s="8"/>
      <c r="F722" s="8"/>
      <c r="G722" s="8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1.5" x14ac:dyDescent="0.15">
      <c r="A723" s="7"/>
      <c r="B723" s="7"/>
      <c r="C723" s="7"/>
      <c r="D723" s="8"/>
      <c r="E723" s="8"/>
      <c r="F723" s="8"/>
      <c r="G723" s="8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1.5" x14ac:dyDescent="0.15">
      <c r="A724" s="7"/>
      <c r="B724" s="7"/>
      <c r="C724" s="7"/>
      <c r="D724" s="8"/>
      <c r="E724" s="8"/>
      <c r="F724" s="8"/>
      <c r="G724" s="8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1.5" x14ac:dyDescent="0.15">
      <c r="A725" s="7"/>
      <c r="B725" s="7"/>
      <c r="C725" s="7"/>
      <c r="D725" s="8"/>
      <c r="E725" s="8"/>
      <c r="F725" s="8"/>
      <c r="G725" s="8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1.5" x14ac:dyDescent="0.15">
      <c r="A726" s="7"/>
      <c r="B726" s="7"/>
      <c r="C726" s="7"/>
      <c r="D726" s="8"/>
      <c r="E726" s="8"/>
      <c r="F726" s="8"/>
      <c r="G726" s="8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1.5" x14ac:dyDescent="0.15">
      <c r="A727" s="7"/>
      <c r="B727" s="7"/>
      <c r="C727" s="7"/>
      <c r="D727" s="8"/>
      <c r="E727" s="8"/>
      <c r="F727" s="8"/>
      <c r="G727" s="8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1.5" x14ac:dyDescent="0.15">
      <c r="A728" s="7"/>
      <c r="B728" s="7"/>
      <c r="C728" s="7"/>
      <c r="D728" s="8"/>
      <c r="E728" s="8"/>
      <c r="F728" s="8"/>
      <c r="G728" s="8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1.5" x14ac:dyDescent="0.15">
      <c r="A729" s="7"/>
      <c r="B729" s="7"/>
      <c r="C729" s="7"/>
      <c r="D729" s="8"/>
      <c r="E729" s="8"/>
      <c r="F729" s="8"/>
      <c r="G729" s="8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11.5" x14ac:dyDescent="0.15">
      <c r="A730" s="7"/>
      <c r="B730" s="7"/>
      <c r="C730" s="7"/>
      <c r="D730" s="8"/>
      <c r="E730" s="8"/>
      <c r="F730" s="8"/>
      <c r="G730" s="8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11.5" x14ac:dyDescent="0.15">
      <c r="A731" s="7"/>
      <c r="B731" s="7"/>
      <c r="C731" s="7"/>
      <c r="D731" s="8"/>
      <c r="E731" s="8"/>
      <c r="F731" s="8"/>
      <c r="G731" s="8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11.5" x14ac:dyDescent="0.15">
      <c r="A732" s="7"/>
      <c r="B732" s="7"/>
      <c r="C732" s="7"/>
      <c r="D732" s="8"/>
      <c r="E732" s="8"/>
      <c r="F732" s="8"/>
      <c r="G732" s="8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11.5" x14ac:dyDescent="0.15">
      <c r="A733" s="7"/>
      <c r="B733" s="7"/>
      <c r="C733" s="7"/>
      <c r="D733" s="8"/>
      <c r="E733" s="8"/>
      <c r="F733" s="8"/>
      <c r="G733" s="8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11.5" x14ac:dyDescent="0.15">
      <c r="A734" s="7"/>
      <c r="B734" s="7"/>
      <c r="C734" s="7"/>
      <c r="D734" s="8"/>
      <c r="E734" s="8"/>
      <c r="F734" s="8"/>
      <c r="G734" s="8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11.5" x14ac:dyDescent="0.15">
      <c r="A735" s="7"/>
      <c r="B735" s="7"/>
      <c r="C735" s="7"/>
      <c r="D735" s="8"/>
      <c r="E735" s="8"/>
      <c r="F735" s="8"/>
      <c r="G735" s="8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11.5" x14ac:dyDescent="0.15">
      <c r="A736" s="7"/>
      <c r="B736" s="7"/>
      <c r="C736" s="7"/>
      <c r="D736" s="8"/>
      <c r="E736" s="8"/>
      <c r="F736" s="8"/>
      <c r="G736" s="8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11.5" x14ac:dyDescent="0.15">
      <c r="A737" s="7"/>
      <c r="B737" s="7"/>
      <c r="C737" s="7"/>
      <c r="D737" s="8"/>
      <c r="E737" s="8"/>
      <c r="F737" s="8"/>
      <c r="G737" s="8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11.5" x14ac:dyDescent="0.15">
      <c r="A738" s="7"/>
      <c r="B738" s="7"/>
      <c r="C738" s="7"/>
      <c r="D738" s="8"/>
      <c r="E738" s="8"/>
      <c r="F738" s="8"/>
      <c r="G738" s="8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11.5" x14ac:dyDescent="0.15">
      <c r="A739" s="7"/>
      <c r="B739" s="7"/>
      <c r="C739" s="7"/>
      <c r="D739" s="8"/>
      <c r="E739" s="8"/>
      <c r="F739" s="8"/>
      <c r="G739" s="8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11.5" x14ac:dyDescent="0.15">
      <c r="A740" s="7"/>
      <c r="B740" s="7"/>
      <c r="C740" s="7"/>
      <c r="D740" s="8"/>
      <c r="E740" s="8"/>
      <c r="F740" s="8"/>
      <c r="G740" s="8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11.5" x14ac:dyDescent="0.15">
      <c r="A741" s="7"/>
      <c r="B741" s="7"/>
      <c r="C741" s="7"/>
      <c r="D741" s="8"/>
      <c r="E741" s="8"/>
      <c r="F741" s="8"/>
      <c r="G741" s="8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11.5" x14ac:dyDescent="0.15">
      <c r="A742" s="7"/>
      <c r="B742" s="7"/>
      <c r="C742" s="7"/>
      <c r="D742" s="8"/>
      <c r="E742" s="8"/>
      <c r="F742" s="8"/>
      <c r="G742" s="8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11.5" x14ac:dyDescent="0.15">
      <c r="A743" s="7"/>
      <c r="B743" s="7"/>
      <c r="C743" s="7"/>
      <c r="D743" s="8"/>
      <c r="E743" s="8"/>
      <c r="F743" s="8"/>
      <c r="G743" s="8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11.5" x14ac:dyDescent="0.15">
      <c r="A744" s="7"/>
      <c r="B744" s="7"/>
      <c r="C744" s="7"/>
      <c r="D744" s="8"/>
      <c r="E744" s="8"/>
      <c r="F744" s="8"/>
      <c r="G744" s="8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11.5" x14ac:dyDescent="0.15">
      <c r="A745" s="7"/>
      <c r="B745" s="7"/>
      <c r="C745" s="7"/>
      <c r="D745" s="8"/>
      <c r="E745" s="8"/>
      <c r="F745" s="8"/>
      <c r="G745" s="8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11.5" x14ac:dyDescent="0.15">
      <c r="A746" s="7"/>
      <c r="B746" s="7"/>
      <c r="C746" s="7"/>
      <c r="D746" s="8"/>
      <c r="E746" s="8"/>
      <c r="F746" s="8"/>
      <c r="G746" s="8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11.5" x14ac:dyDescent="0.15">
      <c r="A747" s="7"/>
      <c r="B747" s="7"/>
      <c r="C747" s="7"/>
      <c r="D747" s="8"/>
      <c r="E747" s="8"/>
      <c r="F747" s="8"/>
      <c r="G747" s="8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11.5" x14ac:dyDescent="0.15">
      <c r="A748" s="7"/>
      <c r="B748" s="7"/>
      <c r="C748" s="7"/>
      <c r="D748" s="8"/>
      <c r="E748" s="8"/>
      <c r="F748" s="8"/>
      <c r="G748" s="8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11.5" x14ac:dyDescent="0.15">
      <c r="A749" s="7"/>
      <c r="B749" s="7"/>
      <c r="C749" s="7"/>
      <c r="D749" s="8"/>
      <c r="E749" s="8"/>
      <c r="F749" s="8"/>
      <c r="G749" s="8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11.5" x14ac:dyDescent="0.15">
      <c r="A750" s="7"/>
      <c r="B750" s="7"/>
      <c r="C750" s="7"/>
      <c r="D750" s="8"/>
      <c r="E750" s="8"/>
      <c r="F750" s="8"/>
      <c r="G750" s="8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11.5" x14ac:dyDescent="0.15">
      <c r="A751" s="7"/>
      <c r="B751" s="7"/>
      <c r="C751" s="7"/>
      <c r="D751" s="8"/>
      <c r="E751" s="8"/>
      <c r="F751" s="8"/>
      <c r="G751" s="8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11.5" x14ac:dyDescent="0.15">
      <c r="A752" s="7"/>
      <c r="B752" s="7"/>
      <c r="C752" s="7"/>
      <c r="D752" s="8"/>
      <c r="E752" s="8"/>
      <c r="F752" s="8"/>
      <c r="G752" s="8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11.5" x14ac:dyDescent="0.15">
      <c r="A753" s="7"/>
      <c r="B753" s="7"/>
      <c r="C753" s="7"/>
      <c r="D753" s="8"/>
      <c r="E753" s="8"/>
      <c r="F753" s="8"/>
      <c r="G753" s="8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11.5" x14ac:dyDescent="0.15">
      <c r="A754" s="7"/>
      <c r="B754" s="7"/>
      <c r="C754" s="7"/>
      <c r="D754" s="8"/>
      <c r="E754" s="8"/>
      <c r="F754" s="8"/>
      <c r="G754" s="8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11.5" x14ac:dyDescent="0.15">
      <c r="A755" s="7"/>
      <c r="B755" s="7"/>
      <c r="C755" s="7"/>
      <c r="D755" s="8"/>
      <c r="E755" s="8"/>
      <c r="F755" s="8"/>
      <c r="G755" s="8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11.5" x14ac:dyDescent="0.15">
      <c r="A756" s="7"/>
      <c r="B756" s="7"/>
      <c r="C756" s="7"/>
      <c r="D756" s="8"/>
      <c r="E756" s="8"/>
      <c r="F756" s="8"/>
      <c r="G756" s="8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ht="11.5" x14ac:dyDescent="0.15">
      <c r="A757" s="7"/>
      <c r="B757" s="7"/>
      <c r="C757" s="7"/>
      <c r="D757" s="8"/>
      <c r="E757" s="8"/>
      <c r="F757" s="8"/>
      <c r="G757" s="8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ht="11.5" x14ac:dyDescent="0.15">
      <c r="A758" s="7"/>
      <c r="B758" s="7"/>
      <c r="C758" s="7"/>
      <c r="D758" s="8"/>
      <c r="E758" s="8"/>
      <c r="F758" s="8"/>
      <c r="G758" s="8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ht="11.5" x14ac:dyDescent="0.15">
      <c r="A759" s="7"/>
      <c r="B759" s="7"/>
      <c r="C759" s="7"/>
      <c r="D759" s="8"/>
      <c r="E759" s="8"/>
      <c r="F759" s="8"/>
      <c r="G759" s="8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ht="11.5" x14ac:dyDescent="0.15">
      <c r="A760" s="7"/>
      <c r="B760" s="7"/>
      <c r="C760" s="7"/>
      <c r="D760" s="8"/>
      <c r="E760" s="8"/>
      <c r="F760" s="8"/>
      <c r="G760" s="8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ht="11.5" x14ac:dyDescent="0.15">
      <c r="A761" s="7"/>
      <c r="B761" s="7"/>
      <c r="C761" s="7"/>
      <c r="D761" s="8"/>
      <c r="E761" s="8"/>
      <c r="F761" s="8"/>
      <c r="G761" s="8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ht="11.5" x14ac:dyDescent="0.15">
      <c r="A762" s="7"/>
      <c r="B762" s="7"/>
      <c r="C762" s="7"/>
      <c r="D762" s="8"/>
      <c r="E762" s="8"/>
      <c r="F762" s="8"/>
      <c r="G762" s="8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ht="11.5" x14ac:dyDescent="0.15">
      <c r="A763" s="7"/>
      <c r="B763" s="7"/>
      <c r="C763" s="7"/>
      <c r="D763" s="8"/>
      <c r="E763" s="8"/>
      <c r="F763" s="8"/>
      <c r="G763" s="8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ht="11.5" x14ac:dyDescent="0.15">
      <c r="A764" s="7"/>
      <c r="B764" s="7"/>
      <c r="C764" s="7"/>
      <c r="D764" s="8"/>
      <c r="E764" s="8"/>
      <c r="F764" s="8"/>
      <c r="G764" s="8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ht="11.5" x14ac:dyDescent="0.15">
      <c r="A765" s="7"/>
      <c r="B765" s="7"/>
      <c r="C765" s="7"/>
      <c r="D765" s="8"/>
      <c r="E765" s="8"/>
      <c r="F765" s="8"/>
      <c r="G765" s="8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ht="11.5" x14ac:dyDescent="0.15">
      <c r="A766" s="7"/>
      <c r="B766" s="7"/>
      <c r="C766" s="7"/>
      <c r="D766" s="8"/>
      <c r="E766" s="8"/>
      <c r="F766" s="8"/>
      <c r="G766" s="8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ht="11.5" x14ac:dyDescent="0.15">
      <c r="A767" s="7"/>
      <c r="B767" s="7"/>
      <c r="C767" s="7"/>
      <c r="D767" s="8"/>
      <c r="E767" s="8"/>
      <c r="F767" s="8"/>
      <c r="G767" s="8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ht="11.5" x14ac:dyDescent="0.15">
      <c r="A768" s="7"/>
      <c r="B768" s="7"/>
      <c r="C768" s="7"/>
      <c r="D768" s="8"/>
      <c r="E768" s="8"/>
      <c r="F768" s="8"/>
      <c r="G768" s="8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ht="11.5" x14ac:dyDescent="0.15">
      <c r="A769" s="7"/>
      <c r="B769" s="7"/>
      <c r="C769" s="7"/>
      <c r="D769" s="8"/>
      <c r="E769" s="8"/>
      <c r="F769" s="8"/>
      <c r="G769" s="8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ht="11.5" x14ac:dyDescent="0.15">
      <c r="A770" s="7"/>
      <c r="B770" s="7"/>
      <c r="C770" s="7"/>
      <c r="D770" s="8"/>
      <c r="E770" s="8"/>
      <c r="F770" s="8"/>
      <c r="G770" s="8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ht="11.5" x14ac:dyDescent="0.15">
      <c r="A771" s="7"/>
      <c r="B771" s="7"/>
      <c r="C771" s="7"/>
      <c r="D771" s="8"/>
      <c r="E771" s="8"/>
      <c r="F771" s="8"/>
      <c r="G771" s="8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ht="11.5" x14ac:dyDescent="0.15">
      <c r="A772" s="7"/>
      <c r="B772" s="7"/>
      <c r="C772" s="7"/>
      <c r="D772" s="8"/>
      <c r="E772" s="8"/>
      <c r="F772" s="8"/>
      <c r="G772" s="8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ht="11.5" x14ac:dyDescent="0.15">
      <c r="A773" s="7"/>
      <c r="B773" s="7"/>
      <c r="C773" s="7"/>
      <c r="D773" s="8"/>
      <c r="E773" s="8"/>
      <c r="F773" s="8"/>
      <c r="G773" s="8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ht="11.5" x14ac:dyDescent="0.15">
      <c r="A774" s="7"/>
      <c r="B774" s="7"/>
      <c r="C774" s="7"/>
      <c r="D774" s="8"/>
      <c r="E774" s="8"/>
      <c r="F774" s="8"/>
      <c r="G774" s="8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ht="11.5" x14ac:dyDescent="0.15">
      <c r="A775" s="7"/>
      <c r="B775" s="7"/>
      <c r="C775" s="7"/>
      <c r="D775" s="8"/>
      <c r="E775" s="8"/>
      <c r="F775" s="8"/>
      <c r="G775" s="8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ht="11.5" x14ac:dyDescent="0.15">
      <c r="A776" s="7"/>
      <c r="B776" s="7"/>
      <c r="C776" s="7"/>
      <c r="D776" s="8"/>
      <c r="E776" s="8"/>
      <c r="F776" s="8"/>
      <c r="G776" s="8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ht="11.5" x14ac:dyDescent="0.15">
      <c r="A777" s="7"/>
      <c r="B777" s="7"/>
      <c r="C777" s="7"/>
      <c r="D777" s="8"/>
      <c r="E777" s="8"/>
      <c r="F777" s="8"/>
      <c r="G777" s="8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ht="11.5" x14ac:dyDescent="0.15">
      <c r="A778" s="7"/>
      <c r="B778" s="7"/>
      <c r="C778" s="7"/>
      <c r="D778" s="8"/>
      <c r="E778" s="8"/>
      <c r="F778" s="8"/>
      <c r="G778" s="8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ht="11.5" x14ac:dyDescent="0.15">
      <c r="A779" s="7"/>
      <c r="B779" s="7"/>
      <c r="C779" s="7"/>
      <c r="D779" s="8"/>
      <c r="E779" s="8"/>
      <c r="F779" s="8"/>
      <c r="G779" s="8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ht="11.5" x14ac:dyDescent="0.15">
      <c r="A780" s="7"/>
      <c r="B780" s="7"/>
      <c r="C780" s="7"/>
      <c r="D780" s="8"/>
      <c r="E780" s="8"/>
      <c r="F780" s="8"/>
      <c r="G780" s="8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ht="11.5" x14ac:dyDescent="0.15">
      <c r="A781" s="7"/>
      <c r="B781" s="7"/>
      <c r="C781" s="7"/>
      <c r="D781" s="8"/>
      <c r="E781" s="8"/>
      <c r="F781" s="8"/>
      <c r="G781" s="8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11.5" x14ac:dyDescent="0.15">
      <c r="A782" s="7"/>
      <c r="B782" s="7"/>
      <c r="C782" s="7"/>
      <c r="D782" s="8"/>
      <c r="E782" s="8"/>
      <c r="F782" s="8"/>
      <c r="G782" s="8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11.5" x14ac:dyDescent="0.15">
      <c r="A783" s="7"/>
      <c r="B783" s="7"/>
      <c r="C783" s="7"/>
      <c r="D783" s="8"/>
      <c r="E783" s="8"/>
      <c r="F783" s="8"/>
      <c r="G783" s="8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11.5" x14ac:dyDescent="0.15">
      <c r="A784" s="7"/>
      <c r="B784" s="7"/>
      <c r="C784" s="7"/>
      <c r="D784" s="8"/>
      <c r="E784" s="8"/>
      <c r="F784" s="8"/>
      <c r="G784" s="8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11.5" x14ac:dyDescent="0.15">
      <c r="A785" s="7"/>
      <c r="B785" s="7"/>
      <c r="C785" s="7"/>
      <c r="D785" s="8"/>
      <c r="E785" s="8"/>
      <c r="F785" s="8"/>
      <c r="G785" s="8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11.5" x14ac:dyDescent="0.15">
      <c r="A786" s="7"/>
      <c r="B786" s="7"/>
      <c r="C786" s="7"/>
      <c r="D786" s="8"/>
      <c r="E786" s="8"/>
      <c r="F786" s="8"/>
      <c r="G786" s="8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11.5" x14ac:dyDescent="0.15">
      <c r="A787" s="7"/>
      <c r="B787" s="7"/>
      <c r="C787" s="7"/>
      <c r="D787" s="8"/>
      <c r="E787" s="8"/>
      <c r="F787" s="8"/>
      <c r="G787" s="8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11.5" x14ac:dyDescent="0.15">
      <c r="A788" s="7"/>
      <c r="B788" s="7"/>
      <c r="C788" s="7"/>
      <c r="D788" s="8"/>
      <c r="E788" s="8"/>
      <c r="F788" s="8"/>
      <c r="G788" s="8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11.5" x14ac:dyDescent="0.15">
      <c r="A789" s="7"/>
      <c r="B789" s="7"/>
      <c r="C789" s="7"/>
      <c r="D789" s="8"/>
      <c r="E789" s="8"/>
      <c r="F789" s="8"/>
      <c r="G789" s="8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11.5" x14ac:dyDescent="0.15">
      <c r="A790" s="7"/>
      <c r="B790" s="7"/>
      <c r="C790" s="7"/>
      <c r="D790" s="8"/>
      <c r="E790" s="8"/>
      <c r="F790" s="8"/>
      <c r="G790" s="8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11.5" x14ac:dyDescent="0.15">
      <c r="A791" s="7"/>
      <c r="B791" s="7"/>
      <c r="C791" s="7"/>
      <c r="D791" s="8"/>
      <c r="E791" s="8"/>
      <c r="F791" s="8"/>
      <c r="G791" s="8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11.5" x14ac:dyDescent="0.15">
      <c r="A792" s="7"/>
      <c r="B792" s="7"/>
      <c r="C792" s="7"/>
      <c r="D792" s="8"/>
      <c r="E792" s="8"/>
      <c r="F792" s="8"/>
      <c r="G792" s="8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11.5" x14ac:dyDescent="0.15">
      <c r="A793" s="7"/>
      <c r="B793" s="7"/>
      <c r="C793" s="7"/>
      <c r="D793" s="8"/>
      <c r="E793" s="8"/>
      <c r="F793" s="8"/>
      <c r="G793" s="8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11.5" x14ac:dyDescent="0.15">
      <c r="A794" s="7"/>
      <c r="B794" s="7"/>
      <c r="C794" s="7"/>
      <c r="D794" s="8"/>
      <c r="E794" s="8"/>
      <c r="F794" s="8"/>
      <c r="G794" s="8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11.5" x14ac:dyDescent="0.15">
      <c r="A795" s="7"/>
      <c r="B795" s="7"/>
      <c r="C795" s="7"/>
      <c r="D795" s="8"/>
      <c r="E795" s="8"/>
      <c r="F795" s="8"/>
      <c r="G795" s="8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11.5" x14ac:dyDescent="0.15">
      <c r="A796" s="7"/>
      <c r="B796" s="7"/>
      <c r="C796" s="7"/>
      <c r="D796" s="8"/>
      <c r="E796" s="8"/>
      <c r="F796" s="8"/>
      <c r="G796" s="8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11.5" x14ac:dyDescent="0.15">
      <c r="A797" s="7"/>
      <c r="B797" s="7"/>
      <c r="C797" s="7"/>
      <c r="D797" s="8"/>
      <c r="E797" s="8"/>
      <c r="F797" s="8"/>
      <c r="G797" s="8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ht="11.5" x14ac:dyDescent="0.15">
      <c r="A798" s="7"/>
      <c r="B798" s="7"/>
      <c r="C798" s="7"/>
      <c r="D798" s="8"/>
      <c r="E798" s="8"/>
      <c r="F798" s="8"/>
      <c r="G798" s="8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ht="11.5" x14ac:dyDescent="0.15">
      <c r="A799" s="7"/>
      <c r="B799" s="7"/>
      <c r="C799" s="7"/>
      <c r="D799" s="8"/>
      <c r="E799" s="8"/>
      <c r="F799" s="8"/>
      <c r="G799" s="8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ht="11.5" x14ac:dyDescent="0.15">
      <c r="A800" s="7"/>
      <c r="B800" s="7"/>
      <c r="C800" s="7"/>
      <c r="D800" s="8"/>
      <c r="E800" s="8"/>
      <c r="F800" s="8"/>
      <c r="G800" s="8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ht="11.5" x14ac:dyDescent="0.15">
      <c r="A801" s="7"/>
      <c r="B801" s="7"/>
      <c r="C801" s="7"/>
      <c r="D801" s="8"/>
      <c r="E801" s="8"/>
      <c r="F801" s="8"/>
      <c r="G801" s="8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ht="11.5" x14ac:dyDescent="0.15">
      <c r="A802" s="7"/>
      <c r="B802" s="7"/>
      <c r="C802" s="7"/>
      <c r="D802" s="8"/>
      <c r="E802" s="8"/>
      <c r="F802" s="8"/>
      <c r="G802" s="8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ht="11.5" x14ac:dyDescent="0.15">
      <c r="A803" s="7"/>
      <c r="B803" s="7"/>
      <c r="C803" s="7"/>
      <c r="D803" s="8"/>
      <c r="E803" s="8"/>
      <c r="F803" s="8"/>
      <c r="G803" s="8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ht="11.5" x14ac:dyDescent="0.15">
      <c r="A804" s="7"/>
      <c r="B804" s="7"/>
      <c r="C804" s="7"/>
      <c r="D804" s="8"/>
      <c r="E804" s="8"/>
      <c r="F804" s="8"/>
      <c r="G804" s="8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ht="11.5" x14ac:dyDescent="0.15">
      <c r="A805" s="7"/>
      <c r="B805" s="7"/>
      <c r="C805" s="7"/>
      <c r="D805" s="8"/>
      <c r="E805" s="8"/>
      <c r="F805" s="8"/>
      <c r="G805" s="8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ht="11.5" x14ac:dyDescent="0.15">
      <c r="A806" s="7"/>
      <c r="B806" s="7"/>
      <c r="C806" s="7"/>
      <c r="D806" s="8"/>
      <c r="E806" s="8"/>
      <c r="F806" s="8"/>
      <c r="G806" s="8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ht="11.5" x14ac:dyDescent="0.15">
      <c r="A807" s="7"/>
      <c r="B807" s="7"/>
      <c r="C807" s="7"/>
      <c r="D807" s="8"/>
      <c r="E807" s="8"/>
      <c r="F807" s="8"/>
      <c r="G807" s="8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ht="11.5" x14ac:dyDescent="0.15">
      <c r="A808" s="7"/>
      <c r="B808" s="7"/>
      <c r="C808" s="7"/>
      <c r="D808" s="8"/>
      <c r="E808" s="8"/>
      <c r="F808" s="8"/>
      <c r="G808" s="8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ht="11.5" x14ac:dyDescent="0.15">
      <c r="A809" s="7"/>
      <c r="B809" s="7"/>
      <c r="C809" s="7"/>
      <c r="D809" s="8"/>
      <c r="E809" s="8"/>
      <c r="F809" s="8"/>
      <c r="G809" s="8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ht="11.5" x14ac:dyDescent="0.15">
      <c r="A810" s="7"/>
      <c r="B810" s="7"/>
      <c r="C810" s="7"/>
      <c r="D810" s="8"/>
      <c r="E810" s="8"/>
      <c r="F810" s="8"/>
      <c r="G810" s="8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ht="11.5" x14ac:dyDescent="0.15">
      <c r="A811" s="7"/>
      <c r="B811" s="7"/>
      <c r="C811" s="7"/>
      <c r="D811" s="8"/>
      <c r="E811" s="8"/>
      <c r="F811" s="8"/>
      <c r="G811" s="8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ht="11.5" x14ac:dyDescent="0.15">
      <c r="A812" s="7"/>
      <c r="B812" s="7"/>
      <c r="C812" s="7"/>
      <c r="D812" s="8"/>
      <c r="E812" s="8"/>
      <c r="F812" s="8"/>
      <c r="G812" s="8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ht="11.5" x14ac:dyDescent="0.15">
      <c r="A813" s="7"/>
      <c r="B813" s="7"/>
      <c r="C813" s="7"/>
      <c r="D813" s="8"/>
      <c r="E813" s="8"/>
      <c r="F813" s="8"/>
      <c r="G813" s="8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ht="11.5" x14ac:dyDescent="0.15">
      <c r="A814" s="7"/>
      <c r="B814" s="7"/>
      <c r="C814" s="7"/>
      <c r="D814" s="8"/>
      <c r="E814" s="8"/>
      <c r="F814" s="8"/>
      <c r="G814" s="8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ht="11.5" x14ac:dyDescent="0.15">
      <c r="A815" s="7"/>
      <c r="B815" s="7"/>
      <c r="C815" s="7"/>
      <c r="D815" s="8"/>
      <c r="E815" s="8"/>
      <c r="F815" s="8"/>
      <c r="G815" s="8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ht="11.5" x14ac:dyDescent="0.15">
      <c r="A816" s="7"/>
      <c r="B816" s="7"/>
      <c r="C816" s="7"/>
      <c r="D816" s="8"/>
      <c r="E816" s="8"/>
      <c r="F816" s="8"/>
      <c r="G816" s="8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ht="11.5" x14ac:dyDescent="0.15">
      <c r="A817" s="7"/>
      <c r="B817" s="7"/>
      <c r="C817" s="7"/>
      <c r="D817" s="8"/>
      <c r="E817" s="8"/>
      <c r="F817" s="8"/>
      <c r="G817" s="8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ht="11.5" x14ac:dyDescent="0.15">
      <c r="A818" s="7"/>
      <c r="B818" s="7"/>
      <c r="C818" s="7"/>
      <c r="D818" s="8"/>
      <c r="E818" s="8"/>
      <c r="F818" s="8"/>
      <c r="G818" s="8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ht="11.5" x14ac:dyDescent="0.15">
      <c r="A819" s="7"/>
      <c r="B819" s="7"/>
      <c r="C819" s="7"/>
      <c r="D819" s="8"/>
      <c r="E819" s="8"/>
      <c r="F819" s="8"/>
      <c r="G819" s="8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ht="11.5" x14ac:dyDescent="0.15">
      <c r="A820" s="7"/>
      <c r="B820" s="7"/>
      <c r="C820" s="7"/>
      <c r="D820" s="8"/>
      <c r="E820" s="8"/>
      <c r="F820" s="8"/>
      <c r="G820" s="8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ht="11.5" x14ac:dyDescent="0.15">
      <c r="A821" s="7"/>
      <c r="B821" s="7"/>
      <c r="C821" s="7"/>
      <c r="D821" s="8"/>
      <c r="E821" s="8"/>
      <c r="F821" s="8"/>
      <c r="G821" s="8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ht="11.5" x14ac:dyDescent="0.15">
      <c r="A822" s="7"/>
      <c r="B822" s="7"/>
      <c r="C822" s="7"/>
      <c r="D822" s="8"/>
      <c r="E822" s="8"/>
      <c r="F822" s="8"/>
      <c r="G822" s="8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ht="11.5" x14ac:dyDescent="0.15">
      <c r="A823" s="7"/>
      <c r="B823" s="7"/>
      <c r="C823" s="7"/>
      <c r="D823" s="8"/>
      <c r="E823" s="8"/>
      <c r="F823" s="8"/>
      <c r="G823" s="8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ht="11.5" x14ac:dyDescent="0.15">
      <c r="A824" s="7"/>
      <c r="B824" s="7"/>
      <c r="C824" s="7"/>
      <c r="D824" s="8"/>
      <c r="E824" s="8"/>
      <c r="F824" s="8"/>
      <c r="G824" s="8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ht="11.5" x14ac:dyDescent="0.15">
      <c r="A825" s="7"/>
      <c r="B825" s="7"/>
      <c r="C825" s="7"/>
      <c r="D825" s="8"/>
      <c r="E825" s="8"/>
      <c r="F825" s="8"/>
      <c r="G825" s="8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ht="11.5" x14ac:dyDescent="0.15">
      <c r="A826" s="7"/>
      <c r="B826" s="7"/>
      <c r="C826" s="7"/>
      <c r="D826" s="8"/>
      <c r="E826" s="8"/>
      <c r="F826" s="8"/>
      <c r="G826" s="8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ht="11.5" x14ac:dyDescent="0.15">
      <c r="A827" s="7"/>
      <c r="B827" s="7"/>
      <c r="C827" s="7"/>
      <c r="D827" s="8"/>
      <c r="E827" s="8"/>
      <c r="F827" s="8"/>
      <c r="G827" s="8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ht="11.5" x14ac:dyDescent="0.15">
      <c r="A828" s="7"/>
      <c r="B828" s="7"/>
      <c r="C828" s="7"/>
      <c r="D828" s="8"/>
      <c r="E828" s="8"/>
      <c r="F828" s="8"/>
      <c r="G828" s="8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ht="11.5" x14ac:dyDescent="0.15">
      <c r="A829" s="7"/>
      <c r="B829" s="7"/>
      <c r="C829" s="7"/>
      <c r="D829" s="8"/>
      <c r="E829" s="8"/>
      <c r="F829" s="8"/>
      <c r="G829" s="8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ht="11.5" x14ac:dyDescent="0.15">
      <c r="A830" s="7"/>
      <c r="B830" s="7"/>
      <c r="C830" s="7"/>
      <c r="D830" s="8"/>
      <c r="E830" s="8"/>
      <c r="F830" s="8"/>
      <c r="G830" s="8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ht="11.5" x14ac:dyDescent="0.15">
      <c r="A831" s="7"/>
      <c r="B831" s="7"/>
      <c r="C831" s="7"/>
      <c r="D831" s="8"/>
      <c r="E831" s="8"/>
      <c r="F831" s="8"/>
      <c r="G831" s="8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ht="11.5" x14ac:dyDescent="0.15">
      <c r="A832" s="7"/>
      <c r="B832" s="7"/>
      <c r="C832" s="7"/>
      <c r="D832" s="8"/>
      <c r="E832" s="8"/>
      <c r="F832" s="8"/>
      <c r="G832" s="8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ht="11.5" x14ac:dyDescent="0.15">
      <c r="A833" s="7"/>
      <c r="B833" s="7"/>
      <c r="C833" s="7"/>
      <c r="D833" s="8"/>
      <c r="E833" s="8"/>
      <c r="F833" s="8"/>
      <c r="G833" s="8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ht="11.5" x14ac:dyDescent="0.15">
      <c r="A834" s="7"/>
      <c r="B834" s="7"/>
      <c r="C834" s="7"/>
      <c r="D834" s="8"/>
      <c r="E834" s="8"/>
      <c r="F834" s="8"/>
      <c r="G834" s="8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ht="11.5" x14ac:dyDescent="0.15">
      <c r="A835" s="7"/>
      <c r="B835" s="7"/>
      <c r="C835" s="7"/>
      <c r="D835" s="8"/>
      <c r="E835" s="8"/>
      <c r="F835" s="8"/>
      <c r="G835" s="8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ht="11.5" x14ac:dyDescent="0.15">
      <c r="A836" s="7"/>
      <c r="B836" s="7"/>
      <c r="C836" s="7"/>
      <c r="D836" s="8"/>
      <c r="E836" s="8"/>
      <c r="F836" s="8"/>
      <c r="G836" s="8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ht="11.5" x14ac:dyDescent="0.15">
      <c r="A837" s="7"/>
      <c r="B837" s="7"/>
      <c r="C837" s="7"/>
      <c r="D837" s="8"/>
      <c r="E837" s="8"/>
      <c r="F837" s="8"/>
      <c r="G837" s="8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ht="11.5" x14ac:dyDescent="0.15">
      <c r="A838" s="7"/>
      <c r="B838" s="7"/>
      <c r="C838" s="7"/>
      <c r="D838" s="8"/>
      <c r="E838" s="8"/>
      <c r="F838" s="8"/>
      <c r="G838" s="8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ht="11.5" x14ac:dyDescent="0.15">
      <c r="A839" s="7"/>
      <c r="B839" s="7"/>
      <c r="C839" s="7"/>
      <c r="D839" s="8"/>
      <c r="E839" s="8"/>
      <c r="F839" s="8"/>
      <c r="G839" s="8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ht="11.5" x14ac:dyDescent="0.15">
      <c r="A840" s="7"/>
      <c r="B840" s="7"/>
      <c r="C840" s="7"/>
      <c r="D840" s="8"/>
      <c r="E840" s="8"/>
      <c r="F840" s="8"/>
      <c r="G840" s="8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ht="11.5" x14ac:dyDescent="0.15">
      <c r="A841" s="7"/>
      <c r="B841" s="7"/>
      <c r="C841" s="7"/>
      <c r="D841" s="8"/>
      <c r="E841" s="8"/>
      <c r="F841" s="8"/>
      <c r="G841" s="8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ht="11.5" x14ac:dyDescent="0.15">
      <c r="A842" s="7"/>
      <c r="B842" s="7"/>
      <c r="C842" s="7"/>
      <c r="D842" s="8"/>
      <c r="E842" s="8"/>
      <c r="F842" s="8"/>
      <c r="G842" s="8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ht="11.5" x14ac:dyDescent="0.15">
      <c r="A843" s="7"/>
      <c r="B843" s="7"/>
      <c r="C843" s="7"/>
      <c r="D843" s="8"/>
      <c r="E843" s="8"/>
      <c r="F843" s="8"/>
      <c r="G843" s="8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ht="11.5" x14ac:dyDescent="0.15">
      <c r="A844" s="7"/>
      <c r="B844" s="7"/>
      <c r="C844" s="7"/>
      <c r="D844" s="8"/>
      <c r="E844" s="8"/>
      <c r="F844" s="8"/>
      <c r="G844" s="8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ht="11.5" x14ac:dyDescent="0.15">
      <c r="A845" s="7"/>
      <c r="B845" s="7"/>
      <c r="C845" s="7"/>
      <c r="D845" s="8"/>
      <c r="E845" s="8"/>
      <c r="F845" s="8"/>
      <c r="G845" s="8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ht="11.5" x14ac:dyDescent="0.15">
      <c r="A846" s="7"/>
      <c r="B846" s="7"/>
      <c r="C846" s="7"/>
      <c r="D846" s="8"/>
      <c r="E846" s="8"/>
      <c r="F846" s="8"/>
      <c r="G846" s="8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ht="11.5" x14ac:dyDescent="0.15">
      <c r="A847" s="7"/>
      <c r="B847" s="7"/>
      <c r="C847" s="7"/>
      <c r="D847" s="8"/>
      <c r="E847" s="8"/>
      <c r="F847" s="8"/>
      <c r="G847" s="8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ht="11.5" x14ac:dyDescent="0.15">
      <c r="A848" s="7"/>
      <c r="B848" s="7"/>
      <c r="C848" s="7"/>
      <c r="D848" s="8"/>
      <c r="E848" s="8"/>
      <c r="F848" s="8"/>
      <c r="G848" s="8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ht="11.5" x14ac:dyDescent="0.15">
      <c r="A849" s="7"/>
      <c r="B849" s="7"/>
      <c r="C849" s="7"/>
      <c r="D849" s="8"/>
      <c r="E849" s="8"/>
      <c r="F849" s="8"/>
      <c r="G849" s="8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ht="11.5" x14ac:dyDescent="0.15">
      <c r="A850" s="7"/>
      <c r="B850" s="7"/>
      <c r="C850" s="7"/>
      <c r="D850" s="8"/>
      <c r="E850" s="8"/>
      <c r="F850" s="8"/>
      <c r="G850" s="8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ht="11.5" x14ac:dyDescent="0.15">
      <c r="A851" s="7"/>
      <c r="B851" s="7"/>
      <c r="C851" s="7"/>
      <c r="D851" s="8"/>
      <c r="E851" s="8"/>
      <c r="F851" s="8"/>
      <c r="G851" s="8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ht="11.5" x14ac:dyDescent="0.15">
      <c r="A852" s="7"/>
      <c r="B852" s="7"/>
      <c r="C852" s="7"/>
      <c r="D852" s="8"/>
      <c r="E852" s="8"/>
      <c r="F852" s="8"/>
      <c r="G852" s="8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ht="11.5" x14ac:dyDescent="0.15">
      <c r="A853" s="7"/>
      <c r="B853" s="7"/>
      <c r="C853" s="7"/>
      <c r="D853" s="8"/>
      <c r="E853" s="8"/>
      <c r="F853" s="8"/>
      <c r="G853" s="8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ht="11.5" x14ac:dyDescent="0.15">
      <c r="A854" s="7"/>
      <c r="B854" s="7"/>
      <c r="C854" s="7"/>
      <c r="D854" s="8"/>
      <c r="E854" s="8"/>
      <c r="F854" s="8"/>
      <c r="G854" s="8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ht="11.5" x14ac:dyDescent="0.15">
      <c r="A855" s="7"/>
      <c r="B855" s="7"/>
      <c r="C855" s="7"/>
      <c r="D855" s="8"/>
      <c r="E855" s="8"/>
      <c r="F855" s="8"/>
      <c r="G855" s="8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ht="11.5" x14ac:dyDescent="0.15">
      <c r="A856" s="7"/>
      <c r="B856" s="7"/>
      <c r="C856" s="7"/>
      <c r="D856" s="8"/>
      <c r="E856" s="8"/>
      <c r="F856" s="8"/>
      <c r="G856" s="8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ht="11.5" x14ac:dyDescent="0.15">
      <c r="A857" s="7"/>
      <c r="B857" s="7"/>
      <c r="C857" s="7"/>
      <c r="D857" s="8"/>
      <c r="E857" s="8"/>
      <c r="F857" s="8"/>
      <c r="G857" s="8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ht="11.5" x14ac:dyDescent="0.15">
      <c r="A858" s="7"/>
      <c r="B858" s="7"/>
      <c r="C858" s="7"/>
      <c r="D858" s="8"/>
      <c r="E858" s="8"/>
      <c r="F858" s="8"/>
      <c r="G858" s="8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ht="11.5" x14ac:dyDescent="0.15">
      <c r="A859" s="7"/>
      <c r="B859" s="7"/>
      <c r="C859" s="7"/>
      <c r="D859" s="8"/>
      <c r="E859" s="8"/>
      <c r="F859" s="8"/>
      <c r="G859" s="8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ht="11.5" x14ac:dyDescent="0.15">
      <c r="A860" s="7"/>
      <c r="B860" s="7"/>
      <c r="C860" s="7"/>
      <c r="D860" s="8"/>
      <c r="E860" s="8"/>
      <c r="F860" s="8"/>
      <c r="G860" s="8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ht="11.5" x14ac:dyDescent="0.15">
      <c r="A861" s="7"/>
      <c r="B861" s="7"/>
      <c r="C861" s="7"/>
      <c r="D861" s="8"/>
      <c r="E861" s="8"/>
      <c r="F861" s="8"/>
      <c r="G861" s="8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ht="11.5" x14ac:dyDescent="0.15">
      <c r="A862" s="7"/>
      <c r="B862" s="7"/>
      <c r="C862" s="7"/>
      <c r="D862" s="8"/>
      <c r="E862" s="8"/>
      <c r="F862" s="8"/>
      <c r="G862" s="8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ht="11.5" x14ac:dyDescent="0.15">
      <c r="A863" s="7"/>
      <c r="B863" s="7"/>
      <c r="C863" s="7"/>
      <c r="D863" s="8"/>
      <c r="E863" s="8"/>
      <c r="F863" s="8"/>
      <c r="G863" s="8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ht="11.5" x14ac:dyDescent="0.15">
      <c r="A864" s="7"/>
      <c r="B864" s="7"/>
      <c r="C864" s="7"/>
      <c r="D864" s="8"/>
      <c r="E864" s="8"/>
      <c r="F864" s="8"/>
      <c r="G864" s="8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ht="11.5" x14ac:dyDescent="0.15">
      <c r="A865" s="7"/>
      <c r="B865" s="7"/>
      <c r="C865" s="7"/>
      <c r="D865" s="8"/>
      <c r="E865" s="8"/>
      <c r="F865" s="8"/>
      <c r="G865" s="8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ht="11.5" x14ac:dyDescent="0.15">
      <c r="A866" s="7"/>
      <c r="B866" s="7"/>
      <c r="C866" s="7"/>
      <c r="D866" s="8"/>
      <c r="E866" s="8"/>
      <c r="F866" s="8"/>
      <c r="G866" s="8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ht="11.5" x14ac:dyDescent="0.15">
      <c r="A867" s="7"/>
      <c r="B867" s="7"/>
      <c r="C867" s="7"/>
      <c r="D867" s="8"/>
      <c r="E867" s="8"/>
      <c r="F867" s="8"/>
      <c r="G867" s="8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ht="11.5" x14ac:dyDescent="0.15">
      <c r="A868" s="7"/>
      <c r="B868" s="7"/>
      <c r="C868" s="7"/>
      <c r="D868" s="8"/>
      <c r="E868" s="8"/>
      <c r="F868" s="8"/>
      <c r="G868" s="8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ht="11.5" x14ac:dyDescent="0.15">
      <c r="A869" s="7"/>
      <c r="B869" s="7"/>
      <c r="C869" s="7"/>
      <c r="D869" s="8"/>
      <c r="E869" s="8"/>
      <c r="F869" s="8"/>
      <c r="G869" s="8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9"/>
  <sheetViews>
    <sheetView topLeftCell="A2" workbookViewId="0">
      <selection activeCell="G7" sqref="G7"/>
    </sheetView>
  </sheetViews>
  <sheetFormatPr defaultColWidth="12.54296875" defaultRowHeight="15.75" customHeight="1" x14ac:dyDescent="0.25"/>
  <sheetData>
    <row r="1" spans="1:7" ht="12.5" x14ac:dyDescent="0.25">
      <c r="A1" s="2" t="s">
        <v>120</v>
      </c>
      <c r="B1" s="62" t="s">
        <v>4</v>
      </c>
      <c r="C1" s="63"/>
      <c r="D1" s="63"/>
      <c r="E1" s="63"/>
      <c r="F1" s="2" t="s">
        <v>121</v>
      </c>
    </row>
    <row r="2" spans="1:7" ht="14" x14ac:dyDescent="0.35">
      <c r="A2" s="2" t="s">
        <v>413</v>
      </c>
      <c r="B2" s="3" t="s">
        <v>123</v>
      </c>
      <c r="C2" s="62" t="s">
        <v>124</v>
      </c>
      <c r="D2" s="63"/>
      <c r="E2" s="63"/>
      <c r="G2" s="1"/>
    </row>
    <row r="3" spans="1:7" ht="12.5" x14ac:dyDescent="0.25">
      <c r="A3" s="2" t="s">
        <v>414</v>
      </c>
      <c r="B3" s="62" t="s">
        <v>129</v>
      </c>
      <c r="C3" s="63"/>
      <c r="D3" s="62" t="s">
        <v>130</v>
      </c>
      <c r="E3" s="63"/>
      <c r="F3" s="2" t="s">
        <v>131</v>
      </c>
    </row>
    <row r="4" spans="1:7" ht="12.5" x14ac:dyDescent="0.25">
      <c r="A4" s="2" t="s">
        <v>415</v>
      </c>
      <c r="B4" s="62" t="s">
        <v>129</v>
      </c>
      <c r="C4" s="63"/>
      <c r="D4" s="62" t="s">
        <v>135</v>
      </c>
      <c r="E4" s="63"/>
      <c r="F4" s="2" t="s">
        <v>136</v>
      </c>
      <c r="G4" s="4"/>
    </row>
    <row r="5" spans="1:7" ht="12.5" x14ac:dyDescent="0.25">
      <c r="A5" s="2" t="s">
        <v>416</v>
      </c>
      <c r="B5" s="3" t="s">
        <v>123</v>
      </c>
      <c r="C5" s="3" t="s">
        <v>138</v>
      </c>
      <c r="D5" s="3" t="s">
        <v>138</v>
      </c>
      <c r="E5" s="3" t="s">
        <v>138</v>
      </c>
      <c r="F5" s="2" t="s">
        <v>139</v>
      </c>
    </row>
    <row r="7" spans="1:7" ht="15.75" customHeight="1" x14ac:dyDescent="0.55000000000000004">
      <c r="G7" s="5"/>
    </row>
    <row r="9" spans="1:7" ht="12.5" x14ac:dyDescent="0.25">
      <c r="G9" s="4"/>
    </row>
    <row r="11" spans="1:7" ht="15.75" customHeight="1" x14ac:dyDescent="0.25">
      <c r="A11" s="21" t="s">
        <v>120</v>
      </c>
      <c r="B11" s="60" t="s">
        <v>4</v>
      </c>
      <c r="C11" s="61"/>
      <c r="D11" s="61"/>
      <c r="E11" s="61"/>
      <c r="F11" s="21" t="s">
        <v>121</v>
      </c>
    </row>
    <row r="12" spans="1:7" ht="15.75" customHeight="1" x14ac:dyDescent="0.25">
      <c r="A12" s="21" t="s">
        <v>122</v>
      </c>
      <c r="B12" s="22" t="s">
        <v>123</v>
      </c>
      <c r="C12" s="60" t="s">
        <v>124</v>
      </c>
      <c r="D12" s="61"/>
      <c r="E12" s="61"/>
      <c r="F12" s="23"/>
    </row>
    <row r="13" spans="1:7" ht="15.75" customHeight="1" x14ac:dyDescent="0.25">
      <c r="A13" s="21" t="s">
        <v>125</v>
      </c>
      <c r="B13" s="22" t="s">
        <v>123</v>
      </c>
      <c r="C13" s="60" t="s">
        <v>124</v>
      </c>
      <c r="D13" s="61"/>
      <c r="E13" s="61"/>
      <c r="F13" s="23"/>
    </row>
    <row r="14" spans="1:7" ht="15.75" customHeight="1" x14ac:dyDescent="0.25">
      <c r="A14" s="21" t="s">
        <v>126</v>
      </c>
      <c r="B14" s="22" t="s">
        <v>123</v>
      </c>
      <c r="C14" s="60" t="s">
        <v>124</v>
      </c>
      <c r="D14" s="61"/>
      <c r="E14" s="61"/>
      <c r="F14" s="23"/>
    </row>
    <row r="15" spans="1:7" ht="15.75" customHeight="1" x14ac:dyDescent="0.25">
      <c r="A15" s="21" t="s">
        <v>127</v>
      </c>
      <c r="B15" s="22" t="s">
        <v>123</v>
      </c>
      <c r="C15" s="60" t="s">
        <v>124</v>
      </c>
      <c r="D15" s="61"/>
      <c r="E15" s="61"/>
      <c r="F15" s="23"/>
    </row>
    <row r="16" spans="1:7" ht="15.75" customHeight="1" x14ac:dyDescent="0.25">
      <c r="A16" s="21" t="s">
        <v>128</v>
      </c>
      <c r="B16" s="60" t="s">
        <v>129</v>
      </c>
      <c r="C16" s="61"/>
      <c r="D16" s="60" t="s">
        <v>130</v>
      </c>
      <c r="E16" s="61"/>
      <c r="F16" s="21" t="s">
        <v>131</v>
      </c>
    </row>
    <row r="17" spans="1:6" ht="15.75" customHeight="1" x14ac:dyDescent="0.25">
      <c r="A17" s="21" t="s">
        <v>132</v>
      </c>
      <c r="B17" s="22" t="s">
        <v>123</v>
      </c>
      <c r="C17" s="22" t="s">
        <v>133</v>
      </c>
      <c r="D17" s="22" t="s">
        <v>133</v>
      </c>
      <c r="E17" s="22" t="s">
        <v>133</v>
      </c>
      <c r="F17" s="24" t="s">
        <v>140</v>
      </c>
    </row>
    <row r="18" spans="1:6" ht="15.75" customHeight="1" x14ac:dyDescent="0.25">
      <c r="A18" s="21" t="s">
        <v>134</v>
      </c>
      <c r="B18" s="60" t="s">
        <v>129</v>
      </c>
      <c r="C18" s="61"/>
      <c r="D18" s="60" t="s">
        <v>135</v>
      </c>
      <c r="E18" s="61"/>
      <c r="F18" s="21" t="s">
        <v>136</v>
      </c>
    </row>
    <row r="19" spans="1:6" ht="15.75" customHeight="1" x14ac:dyDescent="0.25">
      <c r="A19" s="21" t="s">
        <v>137</v>
      </c>
      <c r="B19" s="22" t="s">
        <v>123</v>
      </c>
      <c r="C19" s="22" t="s">
        <v>138</v>
      </c>
      <c r="D19" s="22" t="s">
        <v>138</v>
      </c>
      <c r="E19" s="22" t="s">
        <v>138</v>
      </c>
      <c r="F19" s="21" t="s">
        <v>139</v>
      </c>
    </row>
  </sheetData>
  <mergeCells count="15">
    <mergeCell ref="B4:C4"/>
    <mergeCell ref="D4:E4"/>
    <mergeCell ref="B1:E1"/>
    <mergeCell ref="C2:E2"/>
    <mergeCell ref="B3:C3"/>
    <mergeCell ref="D3:E3"/>
    <mergeCell ref="B16:C16"/>
    <mergeCell ref="D16:E16"/>
    <mergeCell ref="B18:C18"/>
    <mergeCell ref="D18:E18"/>
    <mergeCell ref="B11:E11"/>
    <mergeCell ref="C12:E12"/>
    <mergeCell ref="C13:E13"/>
    <mergeCell ref="C14:E14"/>
    <mergeCell ref="C15:E15"/>
  </mergeCells>
  <phoneticPr fontId="5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20thNSE</vt:lpstr>
      <vt:lpstr>24thISE</vt:lpstr>
      <vt:lpstr>23rdISE</vt:lpstr>
      <vt:lpstr>19thNSE</vt:lpstr>
      <vt:lpstr>Project-e</vt:lpstr>
      <vt:lpstr>CANVAS</vt:lpstr>
      <vt:lpstr>仕様詳細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 Fujita</dc:creator>
  <cp:lastModifiedBy>akihiro maruyama</cp:lastModifiedBy>
  <cp:lastPrinted>2023-05-01T13:38:30Z</cp:lastPrinted>
  <dcterms:created xsi:type="dcterms:W3CDTF">2022-08-09T22:56:01Z</dcterms:created>
  <dcterms:modified xsi:type="dcterms:W3CDTF">2024-08-15T12:21:17Z</dcterms:modified>
</cp:coreProperties>
</file>